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b06ab6234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a7bf06ea7074231"/>
    <x:sheet xmlns:r="http://schemas.openxmlformats.org/officeDocument/2006/relationships" name="Dashboard" sheetId="2" r:id="R568852bcc273433d"/>
    <x:sheet xmlns:r="http://schemas.openxmlformats.org/officeDocument/2006/relationships" name="Paycheck Map" sheetId="3" r:id="Rb07d8276de084e1b"/>
    <x:sheet xmlns:r="http://schemas.openxmlformats.org/officeDocument/2006/relationships" name="Bills &amp; Timing" sheetId="4" r:id="R2e1ed219713a4091"/>
    <x:sheet xmlns:r="http://schemas.openxmlformats.org/officeDocument/2006/relationships" name="Debt &amp; Subscriptions" sheetId="5" r:id="R665cc24d95934911"/>
    <x:sheet xmlns:r="http://schemas.openxmlformats.org/officeDocument/2006/relationships" name="Action Plan" sheetId="6" r:id="R935f9198ccf3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0%"/>
    <x:numFmt numFmtId="202" formatCode="0.00%"/>
  </x:numFmts>
  <x:fonts count="14">
    <x:font>
      <x:sz val="11"/>
      <x:name val="Carlito"/>
    </x:font>
    <x:font>
      <x:sz val="11"/>
      <x:name val="Aptos"/>
    </x:font>
    <x:font>
      <x:sz val="11"/>
      <x:color rgb="FF17231F"/>
      <x:name val="Aptos"/>
    </x:font>
    <x:font>
      <x:b/>
      <x:sz val="24"/>
      <x:color rgb="FFFFFFFF"/>
      <x:name val="Aptos"/>
    </x:font>
    <x:font>
      <x:sz val="12"/>
      <x:color rgb="FFD8E7DE"/>
      <x:name val="Aptos"/>
    </x:font>
    <x:font>
      <x:b/>
      <x:sz val="11"/>
      <x:color rgb="FFF6E2D8"/>
      <x:name val="Aptos"/>
    </x:font>
    <x:font>
      <x:b/>
      <x:sz val="13"/>
      <x:color rgb="FF17231F"/>
      <x:name val="Aptos"/>
    </x:font>
    <x:font>
      <x:b/>
      <x:sz val="11"/>
      <x:color rgb="FF17231F"/>
      <x:name val="Aptos"/>
    </x:font>
    <x:font>
      <x:b/>
      <x:sz val="11"/>
      <x:color rgb="FF60594F"/>
      <x:name val="Aptos"/>
    </x:font>
    <x:font>
      <x:b/>
      <x:sz val="22"/>
      <x:color rgb="FF193D34"/>
      <x:name val="Aptos"/>
    </x:font>
    <x:font>
      <x:b/>
      <x:sz val="22"/>
      <x:color rgb="FFC96243"/>
      <x:name val="Aptos"/>
    </x:font>
    <x:font>
      <x:b/>
      <x:sz val="11"/>
      <x:color rgb="FFFFFFFF"/>
      <x:name val="Aptos"/>
    </x:font>
    <x:font>
      <x:b/>
      <x:sz val="14"/>
      <x:color rgb="FF193D34"/>
      <x:name val="Aptos"/>
    </x:font>
    <x:font>
      <x:b/>
      <x:sz val="16"/>
      <x:color rgb="FF193D34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93D34"/>
      </x:patternFill>
    </x:fill>
    <x:fill>
      <x:patternFill patternType="solid">
        <x:fgColor rgb="FFF2ECDF"/>
      </x:patternFill>
    </x:fill>
    <x:fill>
      <x:patternFill patternType="solid">
        <x:fgColor rgb="FFFFFFFF"/>
      </x:patternFill>
    </x:fill>
    <x:fill>
      <x:patternFill patternType="solid">
        <x:fgColor rgb="FFE6F0DE"/>
      </x:patternFill>
    </x:fill>
    <x:fill>
      <x:patternFill patternType="solid">
        <x:fgColor rgb="FFFFF7E8"/>
      </x:patternFill>
    </x:fill>
    <x:fill>
      <x:patternFill patternType="solid">
        <x:fgColor rgb="FFDDEAF1"/>
      </x:patternFill>
    </x:fill>
    <x:fill>
      <x:patternFill patternType="solid">
        <x:fgColor rgb="FFF1D6CC"/>
      </x:patternFill>
    </x:fill>
    <x:fill>
      <x:patternFill patternType="solid">
        <x:fgColor rgb="FFFBFAF5"/>
      </x:patternFill>
    </x:fill>
  </x:fills>
  <x:borders count="39">
    <x:border/>
    <x:border>
      <x:left style="thin">
        <x:color rgb="FFDCD4C7"/>
      </x:left>
      <x:top style="thin">
        <x:color rgb="FFDCD4C7"/>
      </x:top>
    </x:border>
    <x:border>
      <x:top style="thin">
        <x:color rgb="FFDCD4C7"/>
      </x:top>
    </x:border>
    <x:border>
      <x:right style="thin">
        <x:color rgb="FFDCD4C7"/>
      </x:right>
      <x:top style="thin">
        <x:color rgb="FFDCD4C7"/>
      </x:top>
    </x:border>
    <x:border>
      <x:left style="thin">
        <x:color rgb="FFDCD4C7"/>
      </x:left>
    </x:border>
    <x:border>
      <x:right style="thin">
        <x:color rgb="FFDCD4C7"/>
      </x:right>
    </x:border>
    <x:border>
      <x:left style="thin">
        <x:color rgb="FFDCD4C7"/>
      </x:left>
      <x:bottom style="thin">
        <x:color rgb="FFDCD4C7"/>
      </x:bottom>
    </x:border>
    <x:border>
      <x:bottom style="thin">
        <x:color rgb="FFDCD4C7"/>
      </x:bottom>
    </x:border>
    <x:border>
      <x:right style="thin">
        <x:color rgb="FFDCD4C7"/>
      </x:right>
      <x:bottom style="thin">
        <x:color rgb="FFDCD4C7"/>
      </x:bottom>
    </x:border>
    <x:border>
      <x:left style="thin">
        <x:color rgb="FFDCD4C7"/>
      </x:left>
      <x:right style="thin">
        <x:color rgb="FFDCD4C7"/>
      </x:right>
      <x:bottom style="thin">
        <x:color rgb="FFDCD4C7"/>
      </x:bottom>
    </x:border>
    <x:border>
      <x:right style="thin">
        <x:color rgb="FFDCD4C7"/>
      </x:right>
      <x:top style="thin">
        <x:color rgb="FFDCD4C7"/>
      </x:top>
      <x:bottom style="thin">
        <x:color rgb="FFDCD4C7"/>
      </x:bottom>
    </x:border>
    <x:border>
      <x:left style="thin">
        <x:color rgb="FFDCD4C7"/>
      </x:left>
      <x:right style="thin">
        <x:color rgb="FFDCD4C7"/>
      </x:right>
      <x:top style="thin">
        <x:color rgb="FFDCD4C7"/>
      </x:top>
      <x:bottom style="thin">
        <x:color rgb="FFDCD4C7"/>
      </x:bottom>
    </x:border>
    <x:border>
      <x:left style="thin">
        <x:color rgb="FFDCD4C7"/>
      </x:left>
      <x:top style="thin">
        <x:color rgb="FFDCD4C7"/>
      </x:top>
      <x:bottom style="thin">
        <x:color rgb="FFDCD4C7"/>
      </x:bottom>
    </x:border>
    <x:border>
      <x:left style="thin">
        <x:color rgb="FFDCD4C7"/>
      </x:left>
      <x:right style="thin">
        <x:color rgb="FFDCD4C7"/>
      </x:right>
      <x:top style="thin">
        <x:color rgb="FFDCD4C7"/>
      </x:top>
    </x:border>
    <x:border>
      <x:left style="thin">
        <x:color rgb="FF193D34"/>
      </x:left>
      <x:top style="thin">
        <x:color rgb="FF193D34"/>
      </x:top>
    </x:border>
    <x:border>
      <x:top style="thin">
        <x:color rgb="FF193D34"/>
      </x:top>
    </x:border>
    <x:border>
      <x:right style="thin">
        <x:color rgb="FF193D34"/>
      </x:right>
      <x:top style="thin">
        <x:color rgb="FF193D34"/>
      </x:top>
    </x:border>
    <x:border>
      <x:left style="thin">
        <x:color rgb="FF193D34"/>
      </x:left>
    </x:border>
    <x:border>
      <x:right style="thin">
        <x:color rgb="FF193D34"/>
      </x:right>
    </x:border>
    <x:border>
      <x:left style="thin">
        <x:color rgb="FF193D34"/>
      </x:left>
      <x:bottom style="thin">
        <x:color rgb="FF193D34"/>
      </x:bottom>
    </x:border>
    <x:border>
      <x:bottom style="thin">
        <x:color rgb="FF193D34"/>
      </x:bottom>
    </x:border>
    <x:border>
      <x:right style="thin">
        <x:color rgb="FF193D34"/>
      </x:right>
      <x:bottom style="thin">
        <x:color rgb="FF193D34"/>
      </x:bottom>
    </x:border>
    <x:border>
      <x:right style="thin">
        <x:color rgb="FFEFE7DA"/>
      </x:right>
      <x:bottom style="thin">
        <x:color rgb="FFEFE7DA"/>
      </x:bottom>
    </x:border>
    <x:border>
      <x:left style="thin">
        <x:color rgb="FFEFE7DA"/>
      </x:left>
      <x:right style="thin">
        <x:color rgb="FFEFE7DA"/>
      </x:right>
      <x:bottom style="thin">
        <x:color rgb="FFEFE7DA"/>
      </x:bottom>
    </x:border>
    <x:border>
      <x:left style="thin">
        <x:color rgb="FFEFE7DA"/>
      </x:left>
      <x:bottom style="thin">
        <x:color rgb="FFEFE7DA"/>
      </x:bottom>
    </x:border>
    <x:border>
      <x:right style="thin">
        <x:color rgb="FFEFE7DA"/>
      </x:right>
      <x:top style="thin">
        <x:color rgb="FFEFE7DA"/>
      </x:top>
      <x:bottom style="thin">
        <x:color rgb="FFEFE7DA"/>
      </x:bottom>
    </x:border>
    <x:border>
      <x:left style="thin">
        <x:color rgb="FFEFE7DA"/>
      </x:left>
      <x:right style="thin">
        <x:color rgb="FFEFE7DA"/>
      </x:right>
      <x:top style="thin">
        <x:color rgb="FFEFE7DA"/>
      </x:top>
      <x:bottom style="thin">
        <x:color rgb="FFEFE7DA"/>
      </x:bottom>
    </x:border>
    <x:border>
      <x:left style="thin">
        <x:color rgb="FFEFE7DA"/>
      </x:left>
      <x:top style="thin">
        <x:color rgb="FFEFE7DA"/>
      </x:top>
      <x:bottom style="thin">
        <x:color rgb="FFEFE7DA"/>
      </x:bottom>
    </x:border>
    <x:border>
      <x:right style="thin">
        <x:color rgb="FFEFE7DA"/>
      </x:right>
      <x:top style="thin">
        <x:color rgb="FFEFE7DA"/>
      </x:top>
    </x:border>
    <x:border>
      <x:left style="thin">
        <x:color rgb="FFEFE7DA"/>
      </x:left>
      <x:right style="thin">
        <x:color rgb="FFEFE7DA"/>
      </x:right>
      <x:top style="thin">
        <x:color rgb="FFEFE7DA"/>
      </x:top>
    </x:border>
    <x:border>
      <x:left style="thin">
        <x:color rgb="FFEFE7DA"/>
      </x:left>
      <x:top style="thin">
        <x:color rgb="FFEFE7DA"/>
      </x:top>
    </x:border>
    <x:border>
      <x:left style="thin">
        <x:color rgb="FFDCD4C7"/>
      </x:left>
      <x:right style="thin">
        <x:color rgb="FFEFE7DA"/>
      </x:right>
      <x:top style="thin">
        <x:color rgb="FFDCD4C7"/>
      </x:top>
      <x:bottom style="thin">
        <x:color rgb="FFEFE7DA"/>
      </x:bottom>
    </x:border>
    <x:border>
      <x:left style="thin">
        <x:color rgb="FFEFE7DA"/>
      </x:left>
      <x:right style="thin">
        <x:color rgb="FFEFE7DA"/>
      </x:right>
      <x:top style="thin">
        <x:color rgb="FFDCD4C7"/>
      </x:top>
      <x:bottom style="thin">
        <x:color rgb="FFEFE7DA"/>
      </x:bottom>
    </x:border>
    <x:border>
      <x:left style="thin">
        <x:color rgb="FFEFE7DA"/>
      </x:left>
      <x:right style="thin">
        <x:color rgb="FFDCD4C7"/>
      </x:right>
      <x:top style="thin">
        <x:color rgb="FFDCD4C7"/>
      </x:top>
      <x:bottom style="thin">
        <x:color rgb="FFEFE7DA"/>
      </x:bottom>
    </x:border>
    <x:border>
      <x:left style="thin">
        <x:color rgb="FFDCD4C7"/>
      </x:left>
      <x:right style="thin">
        <x:color rgb="FFEFE7DA"/>
      </x:right>
      <x:top style="thin">
        <x:color rgb="FFEFE7DA"/>
      </x:top>
      <x:bottom style="thin">
        <x:color rgb="FFEFE7DA"/>
      </x:bottom>
    </x:border>
    <x:border>
      <x:left style="thin">
        <x:color rgb="FFEFE7DA"/>
      </x:left>
      <x:right style="thin">
        <x:color rgb="FFDCD4C7"/>
      </x:right>
      <x:top style="thin">
        <x:color rgb="FFEFE7DA"/>
      </x:top>
      <x:bottom style="thin">
        <x:color rgb="FFEFE7DA"/>
      </x:bottom>
    </x:border>
    <x:border>
      <x:left style="thin">
        <x:color rgb="FFDCD4C7"/>
      </x:left>
      <x:right style="thin">
        <x:color rgb="FFEFE7DA"/>
      </x:right>
      <x:top style="thin">
        <x:color rgb="FFEFE7DA"/>
      </x:top>
      <x:bottom style="thin">
        <x:color rgb="FFDCD4C7"/>
      </x:bottom>
    </x:border>
    <x:border>
      <x:left style="thin">
        <x:color rgb="FFEFE7DA"/>
      </x:left>
      <x:right style="thin">
        <x:color rgb="FFEFE7DA"/>
      </x:right>
      <x:top style="thin">
        <x:color rgb="FFEFE7DA"/>
      </x:top>
      <x:bottom style="thin">
        <x:color rgb="FFDCD4C7"/>
      </x:bottom>
    </x:border>
    <x:border>
      <x:left style="thin">
        <x:color rgb="FFEFE7DA"/>
      </x:left>
      <x:right style="thin">
        <x:color rgb="FFDCD4C7"/>
      </x:right>
      <x:top style="thin">
        <x:color rgb="FFEFE7DA"/>
      </x:top>
      <x:bottom style="thin">
        <x:color rgb="FFDCD4C7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0" fontId="2" fillId="8" borderId="8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wrapText="1"/>
    </x:xf>
    <x:xf numFmtId="200" fontId="9" fillId="5" borderId="4" xfId="0" applyNumberFormat="1" applyFont="1" applyFill="1" applyBorder="1" applyAlignment="1">
      <x:alignment wrapText="1"/>
    </x:xf>
    <x:xf numFmtId="200" fontId="9" fillId="5" borderId="5" xfId="0" applyNumberFormat="1" applyFont="1" applyFill="1" applyBorder="1" applyAlignment="1">
      <x:alignment wrapText="1"/>
    </x:xf>
    <x:xf numFmtId="200" fontId="9" fillId="7" borderId="4" xfId="0" applyNumberFormat="1" applyFont="1" applyFill="1" applyBorder="1" applyAlignment="1">
      <x:alignment wrapText="1"/>
    </x:xf>
    <x:xf numFmtId="200" fontId="9" fillId="7" borderId="5" xfId="0" applyNumberFormat="1" applyFont="1" applyFill="1" applyBorder="1" applyAlignment="1">
      <x:alignment wrapText="1"/>
    </x:xf>
    <x:xf numFmtId="200" fontId="9" fillId="8" borderId="4" xfId="0" applyNumberFormat="1" applyFont="1" applyFill="1" applyBorder="1" applyAlignment="1">
      <x:alignment wrapText="1"/>
    </x:xf>
    <x:xf numFmtId="200" fontId="9" fillId="8" borderId="5" xfId="0" applyNumberFormat="1" applyFont="1" applyFill="1" applyBorder="1" applyAlignment="1">
      <x:alignment wrapText="1"/>
    </x:xf>
    <x:xf numFmtId="200" fontId="9" fillId="6" borderId="4" xfId="0" applyNumberFormat="1" applyFont="1" applyFill="1" applyBorder="1" applyAlignment="1">
      <x:alignment wrapText="1"/>
    </x:xf>
    <x:xf numFmtId="200" fontId="9" fillId="6" borderId="5" xfId="0" applyNumberFormat="1" applyFont="1" applyFill="1" applyBorder="1" applyAlignment="1">
      <x:alignment wrapText="1"/>
    </x:xf>
    <x:xf numFmtId="200" fontId="9" fillId="3" borderId="4" xfId="0" applyNumberFormat="1" applyFont="1" applyFill="1" applyBorder="1" applyAlignment="1">
      <x:alignment wrapText="1"/>
    </x:xf>
    <x:xf numFmtId="200" fontId="9" fillId="3" borderId="5" xfId="0" applyNumberFormat="1" applyFont="1" applyFill="1" applyBorder="1" applyAlignment="1">
      <x:alignment wrapText="1"/>
    </x:xf>
    <x:xf numFmtId="200" fontId="9" fillId="5" borderId="6" xfId="0" applyNumberFormat="1" applyFont="1" applyFill="1" applyBorder="1" applyAlignment="1">
      <x:alignment wrapText="1"/>
    </x:xf>
    <x:xf numFmtId="200" fontId="9" fillId="5" borderId="8" xfId="0" applyNumberFormat="1" applyFont="1" applyFill="1" applyBorder="1" applyAlignment="1">
      <x:alignment wrapText="1"/>
    </x:xf>
    <x:xf numFmtId="200" fontId="9" fillId="7" borderId="6" xfId="0" applyNumberFormat="1" applyFont="1" applyFill="1" applyBorder="1" applyAlignment="1">
      <x:alignment wrapText="1"/>
    </x:xf>
    <x:xf numFmtId="200" fontId="9" fillId="7" borderId="8" xfId="0" applyNumberFormat="1" applyFont="1" applyFill="1" applyBorder="1" applyAlignment="1">
      <x:alignment wrapText="1"/>
    </x:xf>
    <x:xf numFmtId="200" fontId="9" fillId="8" borderId="6" xfId="0" applyNumberFormat="1" applyFont="1" applyFill="1" applyBorder="1" applyAlignment="1">
      <x:alignment wrapText="1"/>
    </x:xf>
    <x:xf numFmtId="200" fontId="9" fillId="8" borderId="8" xfId="0" applyNumberFormat="1" applyFont="1" applyFill="1" applyBorder="1" applyAlignment="1">
      <x:alignment wrapText="1"/>
    </x:xf>
    <x:xf numFmtId="200" fontId="9" fillId="6" borderId="6" xfId="0" applyNumberFormat="1" applyFont="1" applyFill="1" applyBorder="1" applyAlignment="1">
      <x:alignment wrapText="1"/>
    </x:xf>
    <x:xf numFmtId="200" fontId="9" fillId="6" borderId="8" xfId="0" applyNumberFormat="1" applyFont="1" applyFill="1" applyBorder="1" applyAlignment="1">
      <x:alignment wrapText="1"/>
    </x:xf>
    <x:xf numFmtId="200" fontId="9" fillId="3" borderId="6" xfId="0" applyNumberFormat="1" applyFont="1" applyFill="1" applyBorder="1" applyAlignment="1">
      <x:alignment wrapText="1"/>
    </x:xf>
    <x:xf numFmtId="200" fontId="9" fillId="3" borderId="8" xfId="0" applyNumberFormat="1" applyFont="1" applyFill="1" applyBorder="1" applyAlignment="1">
      <x:alignment wrapText="1"/>
    </x:xf>
    <x:xf numFmtId="200" fontId="10" fillId="8" borderId="4" xfId="0" applyNumberFormat="1" applyFont="1" applyFill="1" applyBorder="1" applyAlignment="1">
      <x:alignment wrapText="1"/>
    </x:xf>
    <x:xf numFmtId="200" fontId="10" fillId="8" borderId="5" xfId="0" applyNumberFormat="1" applyFont="1" applyFill="1" applyBorder="1" applyAlignment="1">
      <x:alignment wrapText="1"/>
    </x:xf>
    <x:xf numFmtId="200" fontId="10" fillId="8" borderId="6" xfId="0" applyNumberFormat="1" applyFont="1" applyFill="1" applyBorder="1" applyAlignment="1">
      <x:alignment wrapText="1"/>
    </x:xf>
    <x:xf numFmtId="200" fontId="10" fillId="8" borderId="8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wrapText="1"/>
    </x:xf>
    <x:xf numFmtId="200" fontId="2" fillId="4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2" xfId="0" applyNumberFormat="1" applyFont="1" applyFill="1" applyBorder="1" applyAlignment="1">
      <x:alignment horizontal="center" wrapText="1"/>
    </x:xf>
    <x:xf numFmtId="0" fontId="11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200" fontId="2" fillId="4" borderId="7" xfId="0" applyNumberFormat="1" applyFont="1" applyFill="1" applyBorder="1" applyAlignment="1">
      <x:alignment wrapText="1"/>
    </x:xf>
    <x:xf numFmtId="201" fontId="2" fillId="4" borderId="7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12" fillId="6" borderId="6" xfId="0" applyNumberFormat="1" applyFont="1" applyFill="1" applyBorder="1" applyAlignment="1">
      <x:alignment wrapText="1"/>
    </x:xf>
    <x:xf numFmtId="0" fontId="12" fillId="6" borderId="7" xfId="0" applyNumberFormat="1" applyFont="1" applyFill="1" applyBorder="1" applyAlignment="1">
      <x:alignment wrapText="1"/>
    </x:xf>
    <x:xf numFmtId="0" fontId="12" fillId="6" borderId="8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center" wrapText="1"/>
    </x:xf>
    <x:xf numFmtId="200" fontId="2" fillId="6" borderId="0" xfId="0" applyNumberFormat="1" applyFont="1" applyFill="1" applyBorder="1" applyAlignment="1">
      <x:alignment wrapText="1"/>
    </x:xf>
    <x:xf numFmtId="201" fontId="2" fillId="6" borderId="0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horizontal="center" wrapText="1"/>
    </x:xf>
    <x:xf numFmtId="0" fontId="11" fillId="6" borderId="2" xfId="0" applyNumberFormat="1" applyFont="1" applyFill="1" applyBorder="1" applyAlignment="1">
      <x:alignment horizontal="center" wrapText="1"/>
    </x:xf>
    <x:xf numFmtId="0" fontId="11" fillId="6" borderId="3" xfId="0" applyNumberFormat="1" applyFont="1" applyFill="1" applyBorder="1" applyAlignment="1">
      <x:alignment horizontal="center" wrapText="1"/>
    </x:xf>
    <x:xf numFmtId="202" fontId="2" fillId="0" borderId="0" xfId="0" applyNumberFormat="1" applyFont="1" applyFill="1" applyBorder="1" applyAlignment="1">
      <x:alignment wrapText="1"/>
    </x:xf>
    <x:xf numFmtId="202" fontId="2" fillId="4" borderId="0" xfId="0" applyNumberFormat="1" applyFont="1" applyFill="1" applyBorder="1" applyAlignment="1">
      <x:alignment wrapText="1"/>
    </x:xf>
    <x:xf numFmtId="202" fontId="2" fillId="4" borderId="7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200" fontId="2" fillId="6" borderId="3" xfId="0" applyNumberFormat="1" applyFont="1" applyFill="1" applyBorder="1" applyAlignment="1">
      <x:alignment wrapText="1"/>
    </x:xf>
    <x:xf numFmtId="200" fontId="2" fillId="6" borderId="5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7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wrapText="1"/>
    </x:xf>
    <x:xf numFmtId="0" fontId="2" fillId="9" borderId="12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2" fillId="9" borderId="13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wrapText="1"/>
    </x:xf>
    <x:xf numFmtId="0" fontId="13" fillId="5" borderId="2" xfId="0" applyNumberFormat="1" applyFont="1" applyFill="1" applyBorder="1" applyAlignment="1">
      <x:alignment wrapText="1"/>
    </x:xf>
    <x:xf numFmtId="0" fontId="13" fillId="5" borderId="3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wrapText="1"/>
    </x:xf>
    <x:xf numFmtId="0" fontId="4" fillId="2" borderId="17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wrapText="1"/>
    </x:xf>
    <x:xf numFmtId="0" fontId="5" fillId="2" borderId="19" xfId="0" applyNumberFormat="1" applyFont="1" applyFill="1" applyBorder="1" applyAlignment="1">
      <x:alignment wrapText="1"/>
    </x:xf>
    <x:xf numFmtId="0" fontId="5" fillId="2" borderId="20" xfId="0" applyNumberFormat="1" applyFont="1" applyFill="1" applyBorder="1" applyAlignment="1">
      <x:alignment wrapText="1"/>
    </x:xf>
    <x:xf numFmtId="0" fontId="5" fillId="2" borderId="21" xfId="0" applyNumberFormat="1" applyFont="1" applyFill="1" applyBorder="1" applyAlignment="1">
      <x:alignment wrapText="1"/>
    </x:xf>
    <x:xf numFmtId="0" fontId="6" fillId="3" borderId="22" xfId="0" applyNumberFormat="1" applyFont="1" applyFill="1" applyBorder="1" applyAlignment="1">
      <x:alignment wrapText="1"/>
    </x:xf>
    <x:xf numFmtId="0" fontId="6" fillId="3" borderId="23" xfId="0" applyNumberFormat="1" applyFont="1" applyFill="1" applyBorder="1" applyAlignment="1">
      <x:alignment wrapText="1"/>
    </x:xf>
    <x:xf numFmtId="0" fontId="6" fillId="3" borderId="24" xfId="0" applyNumberFormat="1" applyFont="1" applyFill="1" applyBorder="1" applyAlignment="1">
      <x:alignment wrapText="1"/>
    </x:xf>
    <x:xf numFmtId="0" fontId="7" fillId="4" borderId="25" xfId="0" applyNumberFormat="1" applyFont="1" applyFill="1" applyBorder="1" applyAlignment="1">
      <x:alignment wrapText="1"/>
    </x:xf>
    <x:xf numFmtId="0" fontId="2" fillId="4" borderId="26" xfId="0" applyNumberFormat="1" applyFont="1" applyFill="1" applyBorder="1" applyAlignment="1">
      <x:alignment wrapText="1"/>
    </x:xf>
    <x:xf numFmtId="0" fontId="2" fillId="4" borderId="27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wrapText="1"/>
    </x:xf>
    <x:xf numFmtId="0" fontId="2" fillId="0" borderId="26" xfId="0" applyNumberFormat="1" applyFont="1" applyFill="1" applyBorder="1" applyAlignment="1">
      <x:alignment wrapText="1"/>
    </x:xf>
    <x:xf numFmtId="0" fontId="2" fillId="0" borderId="27" xfId="0" applyNumberFormat="1" applyFont="1" applyFill="1" applyBorder="1" applyAlignment="1">
      <x:alignment wrapText="1"/>
    </x:xf>
    <x:xf numFmtId="0" fontId="6" fillId="3" borderId="25" xfId="0" applyNumberFormat="1" applyFont="1" applyFill="1" applyBorder="1" applyAlignment="1">
      <x:alignment wrapText="1"/>
    </x:xf>
    <x:xf numFmtId="0" fontId="6" fillId="3" borderId="26" xfId="0" applyNumberFormat="1" applyFont="1" applyFill="1" applyBorder="1" applyAlignment="1">
      <x:alignment wrapText="1"/>
    </x:xf>
    <x:xf numFmtId="0" fontId="6" fillId="3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2" fillId="5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wrapText="1"/>
    </x:xf>
    <x:xf numFmtId="0" fontId="2" fillId="6" borderId="26" xfId="0" applyNumberFormat="1" applyFont="1" applyFill="1" applyBorder="1" applyAlignment="1">
      <x:alignment wrapText="1"/>
    </x:xf>
    <x:xf numFmtId="0" fontId="2" fillId="6" borderId="27" xfId="0" applyNumberFormat="1" applyFont="1" applyFill="1" applyBorder="1" applyAlignment="1">
      <x:alignment wrapText="1"/>
    </x:xf>
    <x:xf numFmtId="0" fontId="2" fillId="0" borderId="28" xfId="0" applyNumberFormat="1" applyFont="1" applyFill="1" applyBorder="1" applyAlignment="1">
      <x:alignment wrapText="1"/>
    </x:xf>
    <x:xf numFmtId="0" fontId="2" fillId="0" borderId="29" xfId="0" applyNumberFormat="1" applyFont="1" applyFill="1" applyBorder="1" applyAlignment="1">
      <x:alignment wrapText="1"/>
    </x:xf>
    <x:xf numFmtId="0" fontId="2" fillId="0" borderId="30" xfId="0" applyNumberFormat="1" applyFont="1" applyFill="1" applyBorder="1" applyAlignment="1">
      <x:alignment wrapText="1"/>
    </x:xf>
    <x:xf numFmtId="0" fontId="6" fillId="3" borderId="31" xfId="0" applyNumberFormat="1" applyFont="1" applyFill="1" applyBorder="1" applyAlignment="1">
      <x:alignment wrapText="1"/>
    </x:xf>
    <x:xf numFmtId="0" fontId="6" fillId="3" borderId="32" xfId="0" applyNumberFormat="1" applyFont="1" applyFill="1" applyBorder="1" applyAlignment="1">
      <x:alignment wrapText="1"/>
    </x:xf>
    <x:xf numFmtId="0" fontId="6" fillId="3" borderId="33" xfId="0" applyNumberFormat="1" applyFont="1" applyFill="1" applyBorder="1" applyAlignment="1">
      <x:alignment wrapText="1"/>
    </x:xf>
    <x:xf numFmtId="0" fontId="7" fillId="4" borderId="34" xfId="0" applyNumberFormat="1" applyFont="1" applyFill="1" applyBorder="1" applyAlignment="1">
      <x:alignment wrapText="1"/>
    </x:xf>
    <x:xf numFmtId="0" fontId="2" fillId="4" borderId="35" xfId="0" applyNumberFormat="1" applyFont="1" applyFill="1" applyBorder="1" applyAlignment="1">
      <x:alignment wrapText="1"/>
    </x:xf>
    <x:xf numFmtId="0" fontId="2" fillId="0" borderId="34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wrapText="1"/>
    </x:xf>
    <x:xf numFmtId="0" fontId="6" fillId="3" borderId="34" xfId="0" applyNumberFormat="1" applyFont="1" applyFill="1" applyBorder="1" applyAlignment="1">
      <x:alignment wrapText="1"/>
    </x:xf>
    <x:xf numFmtId="0" fontId="6" fillId="3" borderId="35" xfId="0" applyNumberFormat="1" applyFont="1" applyFill="1" applyBorder="1" applyAlignment="1">
      <x:alignment wrapText="1"/>
    </x:xf>
    <x:xf numFmtId="0" fontId="7" fillId="5" borderId="34" xfId="0" applyNumberFormat="1" applyFont="1" applyFill="1" applyBorder="1" applyAlignment="1">
      <x:alignment wrapText="1"/>
    </x:xf>
    <x:xf numFmtId="0" fontId="2" fillId="5" borderId="35" xfId="0" applyNumberFormat="1" applyFont="1" applyFill="1" applyBorder="1" applyAlignment="1">
      <x:alignment wrapText="1"/>
    </x:xf>
    <x:xf numFmtId="0" fontId="2" fillId="6" borderId="34" xfId="0" applyNumberFormat="1" applyFont="1" applyFill="1" applyBorder="1" applyAlignment="1">
      <x:alignment wrapText="1"/>
    </x:xf>
    <x:xf numFmtId="0" fontId="2" fillId="6" borderId="35" xfId="0" applyNumberFormat="1" applyFont="1" applyFill="1" applyBorder="1" applyAlignment="1">
      <x:alignment wrapText="1"/>
    </x:xf>
    <x:xf numFmtId="0" fontId="2" fillId="0" borderId="36" xfId="0" applyNumberFormat="1" applyFont="1" applyFill="1" applyBorder="1" applyAlignment="1">
      <x:alignment wrapText="1"/>
    </x:xf>
    <x:xf numFmtId="0" fontId="2" fillId="0" borderId="37" xfId="0" applyNumberFormat="1" applyFont="1" applyFill="1" applyBorder="1" applyAlignment="1">
      <x:alignment wrapText="1"/>
    </x:xf>
    <x:xf numFmtId="0" fontId="2" fillId="0" borderId="38" xfId="0" applyNumberFormat="1" applyFont="1" applyFill="1" applyBorder="1" applyAlignment="1">
      <x:alignment wrapText="1"/>
    </x:xf>
    <x:xf numFmtId="0" fontId="8" fillId="5" borderId="25" xfId="0" applyNumberFormat="1" applyFont="1" applyFill="1" applyBorder="1" applyAlignment="1">
      <x:alignment wrapText="1"/>
    </x:xf>
    <x:xf numFmtId="0" fontId="8" fillId="5" borderId="26" xfId="0" applyNumberFormat="1" applyFont="1" applyFill="1" applyBorder="1" applyAlignment="1">
      <x:alignment wrapText="1"/>
    </x:xf>
    <x:xf numFmtId="0" fontId="8" fillId="7" borderId="26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6" borderId="26" xfId="0" applyNumberFormat="1" applyFont="1" applyFill="1" applyBorder="1" applyAlignment="1">
      <x:alignment wrapText="1"/>
    </x:xf>
    <x:xf numFmtId="0" fontId="8" fillId="3" borderId="26" xfId="0" applyNumberFormat="1" applyFont="1" applyFill="1" applyBorder="1" applyAlignment="1">
      <x:alignment wrapText="1"/>
    </x:xf>
    <x:xf numFmtId="0" fontId="8" fillId="3" borderId="27" xfId="0" applyNumberFormat="1" applyFont="1" applyFill="1" applyBorder="1" applyAlignment="1">
      <x:alignment wrapText="1"/>
    </x:xf>
    <x:xf numFmtId="200" fontId="9" fillId="5" borderId="25" xfId="0" applyNumberFormat="1" applyFont="1" applyFill="1" applyBorder="1" applyAlignment="1">
      <x:alignment wrapText="1"/>
    </x:xf>
    <x:xf numFmtId="200" fontId="9" fillId="5" borderId="26" xfId="0" applyNumberFormat="1" applyFont="1" applyFill="1" applyBorder="1" applyAlignment="1">
      <x:alignment wrapText="1"/>
    </x:xf>
    <x:xf numFmtId="200" fontId="9" fillId="7" borderId="26" xfId="0" applyNumberFormat="1" applyFont="1" applyFill="1" applyBorder="1" applyAlignment="1">
      <x:alignment wrapText="1"/>
    </x:xf>
    <x:xf numFmtId="200" fontId="10" fillId="8" borderId="26" xfId="0" applyNumberFormat="1" applyFont="1" applyFill="1" applyBorder="1" applyAlignment="1">
      <x:alignment wrapText="1"/>
    </x:xf>
    <x:xf numFmtId="200" fontId="9" fillId="6" borderId="26" xfId="0" applyNumberFormat="1" applyFont="1" applyFill="1" applyBorder="1" applyAlignment="1">
      <x:alignment wrapText="1"/>
    </x:xf>
    <x:xf numFmtId="200" fontId="9" fillId="3" borderId="26" xfId="0" applyNumberFormat="1" applyFont="1" applyFill="1" applyBorder="1" applyAlignment="1">
      <x:alignment wrapText="1"/>
    </x:xf>
    <x:xf numFmtId="200" fontId="9" fillId="3" borderId="27" xfId="0" applyNumberFormat="1" applyFont="1" applyFill="1" applyBorder="1" applyAlignment="1">
      <x:alignment wrapText="1"/>
    </x:xf>
    <x:xf numFmtId="0" fontId="11" fillId="4" borderId="25" xfId="0" applyNumberFormat="1" applyFont="1" applyFill="1" applyBorder="1" applyAlignment="1">
      <x:alignment horizontal="center" wrapText="1"/>
    </x:xf>
    <x:xf numFmtId="0" fontId="11" fillId="4" borderId="26" xfId="0" applyNumberFormat="1" applyFont="1" applyFill="1" applyBorder="1" applyAlignment="1">
      <x:alignment horizontal="center" wrapText="1"/>
    </x:xf>
    <x:xf numFmtId="0" fontId="7" fillId="6" borderId="26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wrapText="1"/>
    </x:xf>
    <x:xf numFmtId="200" fontId="2" fillId="4" borderId="26" xfId="0" applyNumberFormat="1" applyFont="1" applyFill="1" applyBorder="1" applyAlignment="1">
      <x:alignment wrapText="1"/>
    </x:xf>
    <x:xf numFmtId="201" fontId="2" fillId="4" borderId="26" xfId="0" applyNumberFormat="1" applyFont="1" applyFill="1" applyBorder="1" applyAlignment="1">
      <x:alignment wrapText="1"/>
    </x:xf>
    <x:xf numFmtId="0" fontId="12" fillId="6" borderId="26" xfId="0" applyNumberFormat="1" applyFont="1" applyFill="1" applyBorder="1" applyAlignment="1">
      <x:alignment wrapText="1"/>
    </x:xf>
    <x:xf numFmtId="0" fontId="12" fillId="6" borderId="27" xfId="0" applyNumberFormat="1" applyFont="1" applyFill="1" applyBorder="1" applyAlignment="1">
      <x:alignment wrapText="1"/>
    </x:xf>
    <x:xf numFmtId="0" fontId="8" fillId="5" borderId="34" xfId="0" applyNumberFormat="1" applyFont="1" applyFill="1" applyBorder="1" applyAlignment="1">
      <x:alignment wrapText="1"/>
    </x:xf>
    <x:xf numFmtId="0" fontId="8" fillId="3" borderId="35" xfId="0" applyNumberFormat="1" applyFont="1" applyFill="1" applyBorder="1" applyAlignment="1">
      <x:alignment wrapText="1"/>
    </x:xf>
    <x:xf numFmtId="200" fontId="9" fillId="5" borderId="34" xfId="0" applyNumberFormat="1" applyFont="1" applyFill="1" applyBorder="1" applyAlignment="1">
      <x:alignment wrapText="1"/>
    </x:xf>
    <x:xf numFmtId="200" fontId="9" fillId="3" borderId="35" xfId="0" applyNumberFormat="1" applyFont="1" applyFill="1" applyBorder="1" applyAlignment="1">
      <x:alignment wrapText="1"/>
    </x:xf>
    <x:xf numFmtId="0" fontId="11" fillId="4" borderId="34" xfId="0" applyNumberFormat="1" applyFont="1" applyFill="1" applyBorder="1" applyAlignment="1">
      <x:alignment horizontal="center" wrapText="1"/>
    </x:xf>
    <x:xf numFmtId="0" fontId="2" fillId="4" borderId="34" xfId="0" applyNumberFormat="1" applyFont="1" applyFill="1" applyBorder="1" applyAlignment="1">
      <x:alignment wrapText="1"/>
    </x:xf>
    <x:xf numFmtId="0" fontId="12" fillId="6" borderId="35" xfId="0" applyNumberFormat="1" applyFont="1" applyFill="1" applyBorder="1" applyAlignment="1">
      <x:alignment wrapText="1"/>
    </x:xf>
    <x:xf numFmtId="0" fontId="11" fillId="6" borderId="26" xfId="0" applyNumberFormat="1" applyFont="1" applyFill="1" applyBorder="1" applyAlignment="1">
      <x:alignment horizontal="center" wrapText="1"/>
    </x:xf>
    <x:xf numFmtId="200" fontId="2" fillId="6" borderId="26" xfId="0" applyNumberFormat="1" applyFont="1" applyFill="1" applyBorder="1" applyAlignment="1">
      <x:alignment wrapText="1"/>
    </x:xf>
    <x:xf numFmtId="201" fontId="2" fillId="6" borderId="26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6" fillId="8" borderId="24" xfId="0" applyNumberFormat="1" applyFont="1" applyFill="1" applyBorder="1" applyAlignment="1">
      <x:alignment wrapText="1"/>
    </x:xf>
    <x:xf numFmtId="200" fontId="2" fillId="6" borderId="27" xfId="0" applyNumberFormat="1" applyFont="1" applyFill="1" applyBorder="1" applyAlignment="1">
      <x:alignment wrapText="1"/>
    </x:xf>
    <x:xf numFmtId="202" fontId="2" fillId="4" borderId="26" xfId="0" applyNumberFormat="1" applyFont="1" applyFill="1" applyBorder="1" applyAlignment="1">
      <x:alignment wrapText="1"/>
    </x:xf>
    <x:xf numFmtId="0" fontId="2" fillId="0" borderId="32" xfId="0" applyNumberFormat="1" applyFont="1" applyFill="1" applyBorder="1" applyAlignment="1">
      <x:alignment wrapText="1"/>
    </x:xf>
    <x:xf numFmtId="0" fontId="6" fillId="8" borderId="32" xfId="0" applyNumberFormat="1" applyFont="1" applyFill="1" applyBorder="1" applyAlignment="1">
      <x:alignment wrapText="1"/>
    </x:xf>
    <x:xf numFmtId="0" fontId="6" fillId="8" borderId="33" xfId="0" applyNumberFormat="1" applyFont="1" applyFill="1" applyBorder="1" applyAlignment="1">
      <x:alignment wrapText="1"/>
    </x:xf>
    <x:xf numFmtId="200" fontId="2" fillId="6" borderId="35" xfId="0" applyNumberFormat="1" applyFont="1" applyFill="1" applyBorder="1" applyAlignment="1">
      <x:alignment wrapText="1"/>
    </x:xf>
    <x:xf numFmtId="0" fontId="11" fillId="4" borderId="27" xfId="0" applyNumberFormat="1" applyFont="1" applyFill="1" applyBorder="1" applyAlignment="1">
      <x:alignment horizontal="center" wrapText="1"/>
    </x:xf>
    <x:xf numFmtId="0" fontId="2" fillId="9" borderId="26" xfId="0" applyNumberFormat="1" applyFont="1" applyFill="1" applyBorder="1" applyAlignment="1">
      <x:alignment wrapText="1"/>
    </x:xf>
    <x:xf numFmtId="0" fontId="2" fillId="9" borderId="27" xfId="0" applyNumberFormat="1" applyFont="1" applyFill="1" applyBorder="1" applyAlignment="1">
      <x:alignment wrapText="1"/>
    </x:xf>
    <x:xf numFmtId="0" fontId="13" fillId="5" borderId="25" xfId="0" applyNumberFormat="1" applyFont="1" applyFill="1" applyBorder="1" applyAlignment="1">
      <x:alignment wrapText="1"/>
    </x:xf>
    <x:xf numFmtId="0" fontId="13" fillId="5" borderId="26" xfId="0" applyNumberFormat="1" applyFont="1" applyFill="1" applyBorder="1" applyAlignment="1">
      <x:alignment wrapText="1"/>
    </x:xf>
    <x:xf numFmtId="0" fontId="13" fillId="5" borderId="27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  <x:xf numFmtId="0" fontId="11" fillId="4" borderId="35" xfId="0" applyNumberFormat="1" applyFont="1" applyFill="1" applyBorder="1" applyAlignment="1">
      <x:alignment horizontal="center" wrapText="1"/>
    </x:xf>
    <x:xf numFmtId="0" fontId="2" fillId="9" borderId="35" xfId="0" applyNumberFormat="1" applyFont="1" applyFill="1" applyBorder="1" applyAlignment="1">
      <x:alignment wrapText="1"/>
    </x:xf>
    <x:xf numFmtId="0" fontId="13" fillId="5" borderId="34" xfId="0" applyNumberFormat="1" applyFont="1" applyFill="1" applyBorder="1" applyAlignment="1">
      <x:alignment wrapText="1"/>
    </x:xf>
    <x:xf numFmtId="0" fontId="13" fillId="5" borderId="35" xfId="0" applyNumberFormat="1" applyFont="1" applyFill="1" applyBorder="1" applyAlignment="1">
      <x:alignment wrapText="1"/>
    </x:xf>
    <x:xf numFmtId="0" fontId="7" fillId="6" borderId="3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04079ac6f4190" /><Relationship Type="http://schemas.openxmlformats.org/officeDocument/2006/relationships/theme" Target="/xl/theme/theme1.xml" Id="Rfe64d7fbfb5343ce" /><Relationship Type="http://schemas.openxmlformats.org/officeDocument/2006/relationships/sharedStrings" Target="/xl/sharedStrings.xml" Id="Rcc35a8a799f1478f" /><Relationship Type="http://schemas.openxmlformats.org/officeDocument/2006/relationships/worksheet" Target="/xl/worksheets/sheet1.xml" Id="Rfa7bf06ea7074231" /><Relationship Type="http://schemas.openxmlformats.org/officeDocument/2006/relationships/worksheet" Target="/xl/worksheets/sheet2.xml" Id="R568852bcc273433d" /><Relationship Type="http://schemas.openxmlformats.org/officeDocument/2006/relationships/worksheet" Target="/xl/worksheets/sheet3.xml" Id="Rb07d8276de084e1b" /><Relationship Type="http://schemas.openxmlformats.org/officeDocument/2006/relationships/worksheet" Target="/xl/worksheets/sheet4.xml" Id="R2e1ed219713a4091" /><Relationship Type="http://schemas.openxmlformats.org/officeDocument/2006/relationships/worksheet" Target="/xl/worksheets/sheet5.xml" Id="R665cc24d95934911" /><Relationship Type="http://schemas.openxmlformats.org/officeDocument/2006/relationships/worksheet" Target="/xl/worksheets/sheet6.xml" Id="R935f9198ccf3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18.889999389648438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8.889999389648438" hidden="0" customWidth="1"/>
    <x:col min="9" max="9" width="20" hidden="0" customWidth="1"/>
    <x:col min="10" max="10" width="24.440000534057617" hidden="0" customWidth="1"/>
    <x:col min="11" max="11" width="20" hidden="0" customWidth="1"/>
    <x:col min="12" max="12" width="1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169" t="str">
        <x:v>Money Leak Finder</x:v>
      </x:c>
      <x:c r="C2" s="170" t="str"/>
      <x:c r="D2" s="170" t="str"/>
      <x:c r="E2" s="170" t="str"/>
      <x:c r="F2" s="170" t="str"/>
      <x:c r="G2" s="170" t="str"/>
      <x:c r="H2" s="170" t="str"/>
      <x:c r="I2" s="170" t="str"/>
      <x:c r="J2" s="170" t="str"/>
      <x:c r="K2" s="171" t="str"/>
      <x:c r="L2" s="3"/>
    </x:row>
    <x:row r="3">
      <x:c r="A3" s="3"/>
      <x:c r="B3" s="172" t="str">
        <x:v>A guided paycheck audit for people who earn enough but still feel squeezed.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173" t="str"/>
      <x:c r="L3" s="3"/>
    </x:row>
    <x:row r="4">
      <x:c r="A4" s="3"/>
      <x:c r="B4" s="174" t="str">
        <x:v>Start here: follow the tabs from left to right.</x:v>
      </x:c>
      <x:c r="C4" s="175" t="str"/>
      <x:c r="D4" s="175" t="str"/>
      <x:c r="E4" s="175" t="str"/>
      <x:c r="F4" s="175" t="str"/>
      <x:c r="G4" s="175" t="str"/>
      <x:c r="H4" s="175" t="str"/>
      <x:c r="I4" s="175" t="str"/>
      <x:c r="J4" s="175" t="str"/>
      <x:c r="K4" s="176" t="str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198" t="str">
        <x:v>How this workbook works</x:v>
      </x:c>
      <x:c r="C6" s="199" t="str">
        <x:v>How this workbook works</x:v>
      </x:c>
      <x:c r="D6" s="199" t="str">
        <x:v>How this workbook works</x:v>
      </x:c>
      <x:c r="E6" s="199" t="str">
        <x:v>How this workbook works</x:v>
      </x:c>
      <x:c r="F6" s="199" t="str">
        <x:v>How this workbook works</x:v>
      </x:c>
      <x:c r="G6" s="199" t="str">
        <x:v>How this workbook works</x:v>
      </x:c>
      <x:c r="H6" s="199" t="str">
        <x:v>How this workbook works</x:v>
      </x:c>
      <x:c r="I6" s="199" t="str">
        <x:v>How this workbook works</x:v>
      </x:c>
      <x:c r="J6" s="199" t="str">
        <x:v>How this workbook works</x:v>
      </x:c>
      <x:c r="K6" s="200" t="str">
        <x:v>How this workbook works</x:v>
      </x:c>
      <x:c r="L6" s="3"/>
    </x:row>
    <x:row r="7">
      <x:c r="A7" s="3"/>
      <x:c r="B7" s="201" t="str">
        <x:v>1. Start Here</x:v>
      </x:c>
      <x:c r="C7" s="181" t="str">
        <x:v>Read the flow and what each tab is for.</x:v>
      </x:c>
      <x:c r="D7" s="181" t="str"/>
      <x:c r="E7" s="181" t="str"/>
      <x:c r="F7" s="181" t="str"/>
      <x:c r="G7" s="181" t="str"/>
      <x:c r="H7" s="181" t="str"/>
      <x:c r="I7" s="181" t="str"/>
      <x:c r="J7" s="181" t="str"/>
      <x:c r="K7" s="202" t="str"/>
      <x:c r="L7" s="3"/>
    </x:row>
    <x:row r="8">
      <x:c r="A8" s="3"/>
      <x:c r="B8" s="201" t="str">
        <x:v>2. Dashboard</x:v>
      </x:c>
      <x:c r="C8" s="181" t="str">
        <x:v>See the headline numbers after you enter your data.</x:v>
      </x:c>
      <x:c r="D8" s="181" t="str"/>
      <x:c r="E8" s="181" t="str"/>
      <x:c r="F8" s="181" t="str"/>
      <x:c r="G8" s="181" t="str"/>
      <x:c r="H8" s="181" t="str"/>
      <x:c r="I8" s="181" t="str"/>
      <x:c r="J8" s="181" t="str"/>
      <x:c r="K8" s="202" t="str"/>
      <x:c r="L8" s="3"/>
    </x:row>
    <x:row r="9">
      <x:c r="A9" s="3"/>
      <x:c r="B9" s="201" t="str">
        <x:v>3. Paycheck Map</x:v>
      </x:c>
      <x:c r="C9" s="181" t="str">
        <x:v>Enter your monthly money numbers. These drive the dashboard.</x:v>
      </x:c>
      <x:c r="D9" s="181" t="str"/>
      <x:c r="E9" s="181" t="str"/>
      <x:c r="F9" s="181" t="str"/>
      <x:c r="G9" s="181" t="str"/>
      <x:c r="H9" s="181" t="str"/>
      <x:c r="I9" s="181" t="str"/>
      <x:c r="J9" s="181" t="str"/>
      <x:c r="K9" s="202" t="str"/>
      <x:c r="L9" s="3"/>
    </x:row>
    <x:row r="10">
      <x:c r="A10" s="3"/>
      <x:c r="B10" s="201" t="str">
        <x:v>4. Bills &amp; Timing</x:v>
      </x:c>
      <x:c r="C10" s="181" t="str">
        <x:v>List due dates so you can spot paycheck timing traps.</x:v>
      </x:c>
      <x:c r="D10" s="181" t="str"/>
      <x:c r="E10" s="181" t="str"/>
      <x:c r="F10" s="181" t="str"/>
      <x:c r="G10" s="181" t="str"/>
      <x:c r="H10" s="181" t="str"/>
      <x:c r="I10" s="181" t="str"/>
      <x:c r="J10" s="181" t="str"/>
      <x:c r="K10" s="202" t="str"/>
      <x:c r="L10" s="3"/>
    </x:row>
    <x:row r="11">
      <x:c r="A11" s="3"/>
      <x:c r="B11" s="201" t="str">
        <x:v>5. Debt &amp; Subscriptions</x:v>
      </x:c>
      <x:c r="C11" s="181" t="str">
        <x:v>Find quiet leaks and choose where to cut, pause, or focus extra payoff.</x:v>
      </x:c>
      <x:c r="D11" s="181" t="str"/>
      <x:c r="E11" s="181" t="str"/>
      <x:c r="F11" s="181" t="str"/>
      <x:c r="G11" s="181" t="str"/>
      <x:c r="H11" s="181" t="str"/>
      <x:c r="I11" s="181" t="str"/>
      <x:c r="J11" s="181" t="str"/>
      <x:c r="K11" s="202" t="str"/>
      <x:c r="L11" s="3"/>
    </x:row>
    <x:row r="12">
      <x:c r="A12" s="3"/>
      <x:c r="B12" s="203"/>
      <x:c r="C12" s="184"/>
      <x:c r="D12" s="184"/>
      <x:c r="E12" s="184"/>
      <x:c r="F12" s="184"/>
      <x:c r="G12" s="184"/>
      <x:c r="H12" s="184"/>
      <x:c r="I12" s="184"/>
      <x:c r="J12" s="184"/>
      <x:c r="K12" s="204"/>
      <x:c r="L12" s="3"/>
    </x:row>
    <x:row r="13">
      <x:c r="A13" s="3"/>
      <x:c r="B13" s="205" t="str">
        <x:v>What to do next</x:v>
      </x:c>
      <x:c r="C13" s="187" t="str">
        <x:v>What to do next</x:v>
      </x:c>
      <x:c r="D13" s="187" t="str">
        <x:v>What to do next</x:v>
      </x:c>
      <x:c r="E13" s="187" t="str">
        <x:v>What to do next</x:v>
      </x:c>
      <x:c r="F13" s="187" t="str">
        <x:v>What to do next</x:v>
      </x:c>
      <x:c r="G13" s="187" t="str">
        <x:v>What to do next</x:v>
      </x:c>
      <x:c r="H13" s="187" t="str">
        <x:v>What to do next</x:v>
      </x:c>
      <x:c r="I13" s="187" t="str">
        <x:v>What to do next</x:v>
      </x:c>
      <x:c r="J13" s="187" t="str">
        <x:v>What to do next</x:v>
      </x:c>
      <x:c r="K13" s="206" t="str">
        <x:v>What to do next</x:v>
      </x:c>
      <x:c r="L13" s="3"/>
    </x:row>
    <x:row r="14">
      <x:c r="A14" s="3"/>
      <x:c r="B14" s="207" t="str">
        <x:v>Step 1</x:v>
      </x:c>
      <x:c r="C14" s="190" t="str">
        <x:v>Go to the Paycheck Map tab and replace every example number with your own.</x:v>
      </x:c>
      <x:c r="D14" s="190" t="str"/>
      <x:c r="E14" s="190" t="str"/>
      <x:c r="F14" s="190" t="str"/>
      <x:c r="G14" s="190" t="str"/>
      <x:c r="H14" s="190" t="str"/>
      <x:c r="I14" s="190" t="str"/>
      <x:c r="J14" s="190" t="str"/>
      <x:c r="K14" s="208" t="str"/>
      <x:c r="L14" s="3"/>
    </x:row>
    <x:row r="15">
      <x:c r="A15" s="3"/>
      <x:c r="B15" s="207" t="str">
        <x:v>Step 2</x:v>
      </x:c>
      <x:c r="C15" s="190" t="str">
        <x:v>Go to Bills &amp; Timing and enter due dates for your actual bills.</x:v>
      </x:c>
      <x:c r="D15" s="190" t="str"/>
      <x:c r="E15" s="190" t="str"/>
      <x:c r="F15" s="190" t="str"/>
      <x:c r="G15" s="190" t="str"/>
      <x:c r="H15" s="190" t="str"/>
      <x:c r="I15" s="190" t="str"/>
      <x:c r="J15" s="190" t="str"/>
      <x:c r="K15" s="208" t="str"/>
      <x:c r="L15" s="3"/>
    </x:row>
    <x:row r="16">
      <x:c r="A16" s="3"/>
      <x:c r="B16" s="207" t="str">
        <x:v>Step 3</x:v>
      </x:c>
      <x:c r="C16" s="190" t="str">
        <x:v>Use Debt &amp; Subscriptions to find cuts and pick one payoff focus.</x:v>
      </x:c>
      <x:c r="D16" s="190" t="str"/>
      <x:c r="E16" s="190" t="str"/>
      <x:c r="F16" s="190" t="str"/>
      <x:c r="G16" s="190" t="str"/>
      <x:c r="H16" s="190" t="str"/>
      <x:c r="I16" s="190" t="str"/>
      <x:c r="J16" s="190" t="str"/>
      <x:c r="K16" s="208" t="str"/>
      <x:c r="L16" s="3"/>
    </x:row>
    <x:row r="17">
      <x:c r="A17" s="3"/>
      <x:c r="B17" s="207" t="str">
        <x:v>Step 4</x:v>
      </x:c>
      <x:c r="C17" s="190" t="str">
        <x:v>Return to Dashboard and Action Plan for the next move.</x:v>
      </x:c>
      <x:c r="D17" s="190" t="str"/>
      <x:c r="E17" s="190" t="str"/>
      <x:c r="F17" s="190" t="str"/>
      <x:c r="G17" s="190" t="str"/>
      <x:c r="H17" s="190" t="str"/>
      <x:c r="I17" s="190" t="str"/>
      <x:c r="J17" s="190" t="str"/>
      <x:c r="K17" s="208" t="str"/>
      <x:c r="L17" s="3"/>
    </x:row>
    <x:row r="18">
      <x:c r="A18" s="3"/>
      <x:c r="B18" s="203"/>
      <x:c r="C18" s="184"/>
      <x:c r="D18" s="184"/>
      <x:c r="E18" s="184"/>
      <x:c r="F18" s="184"/>
      <x:c r="G18" s="184"/>
      <x:c r="H18" s="184"/>
      <x:c r="I18" s="184"/>
      <x:c r="J18" s="184"/>
      <x:c r="K18" s="204"/>
      <x:c r="L18" s="3"/>
    </x:row>
    <x:row r="19">
      <x:c r="A19" s="3"/>
      <x:c r="B19" s="205" t="str">
        <x:v>Important note</x:v>
      </x:c>
      <x:c r="C19" s="187" t="str">
        <x:v>Important note</x:v>
      </x:c>
      <x:c r="D19" s="187" t="str">
        <x:v>Important note</x:v>
      </x:c>
      <x:c r="E19" s="187" t="str">
        <x:v>Important note</x:v>
      </x:c>
      <x:c r="F19" s="187" t="str">
        <x:v>Important note</x:v>
      </x:c>
      <x:c r="G19" s="187" t="str">
        <x:v>Important note</x:v>
      </x:c>
      <x:c r="H19" s="187" t="str">
        <x:v>Important note</x:v>
      </x:c>
      <x:c r="I19" s="187" t="str">
        <x:v>Important note</x:v>
      </x:c>
      <x:c r="J19" s="187" t="str">
        <x:v>Important note</x:v>
      </x:c>
      <x:c r="K19" s="206" t="str">
        <x:v>Important note</x:v>
      </x:c>
      <x:c r="L19" s="3"/>
    </x:row>
    <x:row r="20">
      <x:c r="A20" s="3"/>
      <x:c r="B20" s="209" t="str">
        <x:v>This workbook is educational. It is meant to show cash-flow patterns, not provide individualized financial, legal, or investment advice.</x:v>
      </x:c>
      <x:c r="C20" s="193" t="str"/>
      <x:c r="D20" s="193" t="str"/>
      <x:c r="E20" s="193" t="str"/>
      <x:c r="F20" s="193" t="str"/>
      <x:c r="G20" s="193" t="str"/>
      <x:c r="H20" s="193" t="str"/>
      <x:c r="I20" s="193" t="str"/>
      <x:c r="J20" s="193" t="str"/>
      <x:c r="K20" s="210" t="str"/>
      <x:c r="L20" s="3"/>
    </x:row>
    <x:row r="21">
      <x:c r="A21" s="3"/>
      <x:c r="B21" s="209" t="str">
        <x:v>Use it as a monthly money meeting tool. The magic is not the spreadsheet. The magic is seeing the numbers before the month starts making choices for you.</x:v>
      </x:c>
      <x:c r="C21" s="193" t="str"/>
      <x:c r="D21" s="193" t="str"/>
      <x:c r="E21" s="193" t="str"/>
      <x:c r="F21" s="193" t="str"/>
      <x:c r="G21" s="193" t="str"/>
      <x:c r="H21" s="193" t="str"/>
      <x:c r="I21" s="193" t="str"/>
      <x:c r="J21" s="193" t="str"/>
      <x:c r="K21" s="210" t="str"/>
      <x:c r="L21" s="3"/>
    </x:row>
    <x:row r="22">
      <x:c r="A22" s="3"/>
      <x:c r="B22" s="203"/>
      <x:c r="C22" s="184"/>
      <x:c r="D22" s="184"/>
      <x:c r="E22" s="184"/>
      <x:c r="F22" s="184"/>
      <x:c r="G22" s="184"/>
      <x:c r="H22" s="184"/>
      <x:c r="I22" s="184"/>
      <x:c r="J22" s="184"/>
      <x:c r="K22" s="204"/>
      <x:c r="L22" s="3"/>
    </x:row>
    <x:row r="23">
      <x:c r="A23" s="3"/>
      <x:c r="B23" s="203"/>
      <x:c r="C23" s="184"/>
      <x:c r="D23" s="184"/>
      <x:c r="E23" s="184"/>
      <x:c r="F23" s="184"/>
      <x:c r="G23" s="184"/>
      <x:c r="H23" s="184"/>
      <x:c r="I23" s="184"/>
      <x:c r="J23" s="184"/>
      <x:c r="K23" s="204"/>
      <x:c r="L23" s="3"/>
    </x:row>
    <x:row r="24">
      <x:c r="A24" s="3"/>
      <x:c r="B24" s="203"/>
      <x:c r="C24" s="184"/>
      <x:c r="D24" s="184"/>
      <x:c r="E24" s="184"/>
      <x:c r="F24" s="184"/>
      <x:c r="G24" s="184"/>
      <x:c r="H24" s="184"/>
      <x:c r="I24" s="184"/>
      <x:c r="J24" s="184"/>
      <x:c r="K24" s="204"/>
      <x:c r="L24" s="3"/>
    </x:row>
    <x:row r="25">
      <x:c r="A25" s="3"/>
      <x:c r="B25" s="203"/>
      <x:c r="C25" s="184"/>
      <x:c r="D25" s="184"/>
      <x:c r="E25" s="184"/>
      <x:c r="F25" s="184"/>
      <x:c r="G25" s="184"/>
      <x:c r="H25" s="184"/>
      <x:c r="I25" s="184"/>
      <x:c r="J25" s="184"/>
      <x:c r="K25" s="204"/>
      <x:c r="L25" s="3"/>
    </x:row>
    <x:row r="26">
      <x:c r="A26" s="3"/>
      <x:c r="B26" s="203"/>
      <x:c r="C26" s="184"/>
      <x:c r="D26" s="184"/>
      <x:c r="E26" s="184"/>
      <x:c r="F26" s="184"/>
      <x:c r="G26" s="184"/>
      <x:c r="H26" s="184"/>
      <x:c r="I26" s="184"/>
      <x:c r="J26" s="184"/>
      <x:c r="K26" s="204"/>
      <x:c r="L26" s="3"/>
    </x:row>
    <x:row r="27">
      <x:c r="A27" s="3"/>
      <x:c r="B27" s="203"/>
      <x:c r="C27" s="184"/>
      <x:c r="D27" s="184"/>
      <x:c r="E27" s="184"/>
      <x:c r="F27" s="184"/>
      <x:c r="G27" s="184"/>
      <x:c r="H27" s="184"/>
      <x:c r="I27" s="184"/>
      <x:c r="J27" s="184"/>
      <x:c r="K27" s="204"/>
      <x:c r="L27" s="3"/>
    </x:row>
    <x:row r="28">
      <x:c r="A28" s="3"/>
      <x:c r="B28" s="203"/>
      <x:c r="C28" s="184"/>
      <x:c r="D28" s="184"/>
      <x:c r="E28" s="184"/>
      <x:c r="F28" s="184"/>
      <x:c r="G28" s="184"/>
      <x:c r="H28" s="184"/>
      <x:c r="I28" s="184"/>
      <x:c r="J28" s="184"/>
      <x:c r="K28" s="204"/>
      <x:c r="L28" s="3"/>
    </x:row>
    <x:row r="29">
      <x:c r="A29" s="3"/>
      <x:c r="B29" s="203"/>
      <x:c r="C29" s="184"/>
      <x:c r="D29" s="184"/>
      <x:c r="E29" s="184"/>
      <x:c r="F29" s="184"/>
      <x:c r="G29" s="184"/>
      <x:c r="H29" s="184"/>
      <x:c r="I29" s="184"/>
      <x:c r="J29" s="184"/>
      <x:c r="K29" s="204"/>
      <x:c r="L29" s="3"/>
    </x:row>
    <x:row r="30">
      <x:c r="A30" s="3"/>
      <x:c r="B30" s="203"/>
      <x:c r="C30" s="184"/>
      <x:c r="D30" s="184"/>
      <x:c r="E30" s="184"/>
      <x:c r="F30" s="184"/>
      <x:c r="G30" s="184"/>
      <x:c r="H30" s="184"/>
      <x:c r="I30" s="184"/>
      <x:c r="J30" s="184"/>
      <x:c r="K30" s="204"/>
      <x:c r="L30" s="3"/>
    </x:row>
    <x:row r="31">
      <x:c r="A31" s="3"/>
      <x:c r="B31" s="203"/>
      <x:c r="C31" s="184"/>
      <x:c r="D31" s="184"/>
      <x:c r="E31" s="184"/>
      <x:c r="F31" s="184"/>
      <x:c r="G31" s="184"/>
      <x:c r="H31" s="184"/>
      <x:c r="I31" s="184"/>
      <x:c r="J31" s="184"/>
      <x:c r="K31" s="204"/>
      <x:c r="L31" s="3"/>
    </x:row>
    <x:row r="32">
      <x:c r="A32" s="3"/>
      <x:c r="B32" s="203"/>
      <x:c r="C32" s="184"/>
      <x:c r="D32" s="184"/>
      <x:c r="E32" s="184"/>
      <x:c r="F32" s="184"/>
      <x:c r="G32" s="184"/>
      <x:c r="H32" s="184"/>
      <x:c r="I32" s="184"/>
      <x:c r="J32" s="184"/>
      <x:c r="K32" s="204"/>
      <x:c r="L32" s="3"/>
    </x:row>
    <x:row r="33">
      <x:c r="A33" s="3"/>
      <x:c r="B33" s="203"/>
      <x:c r="C33" s="184"/>
      <x:c r="D33" s="184"/>
      <x:c r="E33" s="184"/>
      <x:c r="F33" s="184"/>
      <x:c r="G33" s="184"/>
      <x:c r="H33" s="184"/>
      <x:c r="I33" s="184"/>
      <x:c r="J33" s="184"/>
      <x:c r="K33" s="204"/>
      <x:c r="L33" s="3"/>
    </x:row>
    <x:row r="34">
      <x:c r="A34" s="3"/>
      <x:c r="B34" s="203"/>
      <x:c r="C34" s="184"/>
      <x:c r="D34" s="184"/>
      <x:c r="E34" s="184"/>
      <x:c r="F34" s="184"/>
      <x:c r="G34" s="184"/>
      <x:c r="H34" s="184"/>
      <x:c r="I34" s="184"/>
      <x:c r="J34" s="184"/>
      <x:c r="K34" s="204"/>
      <x:c r="L34" s="3"/>
    </x:row>
    <x:row r="35">
      <x:c r="A35" s="3"/>
      <x:c r="B35" s="203"/>
      <x:c r="C35" s="184"/>
      <x:c r="D35" s="184"/>
      <x:c r="E35" s="184"/>
      <x:c r="F35" s="184"/>
      <x:c r="G35" s="184"/>
      <x:c r="H35" s="184"/>
      <x:c r="I35" s="184"/>
      <x:c r="J35" s="184"/>
      <x:c r="K35" s="204"/>
      <x:c r="L35" s="3"/>
    </x:row>
    <x:row r="36">
      <x:c r="A36" s="3"/>
      <x:c r="B36" s="203"/>
      <x:c r="C36" s="184"/>
      <x:c r="D36" s="184"/>
      <x:c r="E36" s="184"/>
      <x:c r="F36" s="184"/>
      <x:c r="G36" s="184"/>
      <x:c r="H36" s="184"/>
      <x:c r="I36" s="184"/>
      <x:c r="J36" s="184"/>
      <x:c r="K36" s="204"/>
      <x:c r="L36" s="3"/>
    </x:row>
    <x:row r="37">
      <x:c r="A37" s="3"/>
      <x:c r="B37" s="203"/>
      <x:c r="C37" s="184"/>
      <x:c r="D37" s="184"/>
      <x:c r="E37" s="184"/>
      <x:c r="F37" s="184"/>
      <x:c r="G37" s="184"/>
      <x:c r="H37" s="184"/>
      <x:c r="I37" s="184"/>
      <x:c r="J37" s="184"/>
      <x:c r="K37" s="204"/>
      <x:c r="L37" s="3"/>
    </x:row>
    <x:row r="38">
      <x:c r="A38" s="3"/>
      <x:c r="B38" s="203"/>
      <x:c r="C38" s="184"/>
      <x:c r="D38" s="184"/>
      <x:c r="E38" s="184"/>
      <x:c r="F38" s="184"/>
      <x:c r="G38" s="184"/>
      <x:c r="H38" s="184"/>
      <x:c r="I38" s="184"/>
      <x:c r="J38" s="184"/>
      <x:c r="K38" s="204"/>
      <x:c r="L38" s="3"/>
    </x:row>
    <x:row r="39">
      <x:c r="A39" s="3"/>
      <x:c r="B39" s="203"/>
      <x:c r="C39" s="184"/>
      <x:c r="D39" s="184"/>
      <x:c r="E39" s="184"/>
      <x:c r="F39" s="184"/>
      <x:c r="G39" s="184"/>
      <x:c r="H39" s="184"/>
      <x:c r="I39" s="184"/>
      <x:c r="J39" s="184"/>
      <x:c r="K39" s="204"/>
      <x:c r="L39" s="3"/>
    </x:row>
    <x:row r="40">
      <x:c r="A40" s="3"/>
      <x:c r="B40" s="203"/>
      <x:c r="C40" s="184"/>
      <x:c r="D40" s="184"/>
      <x:c r="E40" s="184"/>
      <x:c r="F40" s="184"/>
      <x:c r="G40" s="184"/>
      <x:c r="H40" s="184"/>
      <x:c r="I40" s="184"/>
      <x:c r="J40" s="184"/>
      <x:c r="K40" s="204"/>
      <x:c r="L40" s="3"/>
    </x:row>
    <x:row r="41">
      <x:c r="A41" s="3"/>
      <x:c r="B41" s="203"/>
      <x:c r="C41" s="184"/>
      <x:c r="D41" s="184"/>
      <x:c r="E41" s="184"/>
      <x:c r="F41" s="184"/>
      <x:c r="G41" s="184"/>
      <x:c r="H41" s="184"/>
      <x:c r="I41" s="184"/>
      <x:c r="J41" s="184"/>
      <x:c r="K41" s="204"/>
      <x:c r="L41" s="3"/>
    </x:row>
    <x:row r="42">
      <x:c r="A42" s="3"/>
      <x:c r="B42" s="203"/>
      <x:c r="C42" s="184"/>
      <x:c r="D42" s="184"/>
      <x:c r="E42" s="184"/>
      <x:c r="F42" s="184"/>
      <x:c r="G42" s="184"/>
      <x:c r="H42" s="184"/>
      <x:c r="I42" s="184"/>
      <x:c r="J42" s="184"/>
      <x:c r="K42" s="204"/>
      <x:c r="L42" s="3"/>
    </x:row>
    <x:row r="43">
      <x:c r="A43" s="3"/>
      <x:c r="B43" s="203"/>
      <x:c r="C43" s="184"/>
      <x:c r="D43" s="184"/>
      <x:c r="E43" s="184"/>
      <x:c r="F43" s="184"/>
      <x:c r="G43" s="184"/>
      <x:c r="H43" s="184"/>
      <x:c r="I43" s="184"/>
      <x:c r="J43" s="184"/>
      <x:c r="K43" s="204"/>
      <x:c r="L43" s="3"/>
    </x:row>
    <x:row r="44">
      <x:c r="A44" s="3"/>
      <x:c r="B44" s="203"/>
      <x:c r="C44" s="184"/>
      <x:c r="D44" s="184"/>
      <x:c r="E44" s="184"/>
      <x:c r="F44" s="184"/>
      <x:c r="G44" s="184"/>
      <x:c r="H44" s="184"/>
      <x:c r="I44" s="184"/>
      <x:c r="J44" s="184"/>
      <x:c r="K44" s="204"/>
      <x:c r="L44" s="3"/>
    </x:row>
    <x:row r="45">
      <x:c r="A45" s="3"/>
      <x:c r="B45" s="203"/>
      <x:c r="C45" s="184"/>
      <x:c r="D45" s="184"/>
      <x:c r="E45" s="184"/>
      <x:c r="F45" s="184"/>
      <x:c r="G45" s="184"/>
      <x:c r="H45" s="184"/>
      <x:c r="I45" s="184"/>
      <x:c r="J45" s="184"/>
      <x:c r="K45" s="204"/>
      <x:c r="L45" s="3"/>
    </x:row>
    <x:row r="46">
      <x:c r="A46" s="3"/>
      <x:c r="B46" s="203"/>
      <x:c r="C46" s="184"/>
      <x:c r="D46" s="184"/>
      <x:c r="E46" s="184"/>
      <x:c r="F46" s="184"/>
      <x:c r="G46" s="184"/>
      <x:c r="H46" s="184"/>
      <x:c r="I46" s="184"/>
      <x:c r="J46" s="184"/>
      <x:c r="K46" s="204"/>
      <x:c r="L46" s="3"/>
    </x:row>
    <x:row r="47">
      <x:c r="A47" s="3"/>
      <x:c r="B47" s="203"/>
      <x:c r="C47" s="184"/>
      <x:c r="D47" s="184"/>
      <x:c r="E47" s="184"/>
      <x:c r="F47" s="184"/>
      <x:c r="G47" s="184"/>
      <x:c r="H47" s="184"/>
      <x:c r="I47" s="184"/>
      <x:c r="J47" s="184"/>
      <x:c r="K47" s="204"/>
      <x:c r="L47" s="3"/>
    </x:row>
    <x:row r="48">
      <x:c r="A48" s="3"/>
      <x:c r="B48" s="203"/>
      <x:c r="C48" s="184"/>
      <x:c r="D48" s="184"/>
      <x:c r="E48" s="184"/>
      <x:c r="F48" s="184"/>
      <x:c r="G48" s="184"/>
      <x:c r="H48" s="184"/>
      <x:c r="I48" s="184"/>
      <x:c r="J48" s="184"/>
      <x:c r="K48" s="204"/>
      <x:c r="L48" s="3"/>
    </x:row>
    <x:row r="49">
      <x:c r="A49" s="3"/>
      <x:c r="B49" s="203"/>
      <x:c r="C49" s="184"/>
      <x:c r="D49" s="184"/>
      <x:c r="E49" s="184"/>
      <x:c r="F49" s="184"/>
      <x:c r="G49" s="184"/>
      <x:c r="H49" s="184"/>
      <x:c r="I49" s="184"/>
      <x:c r="J49" s="184"/>
      <x:c r="K49" s="204"/>
      <x:c r="L49" s="3"/>
    </x:row>
    <x:row r="50">
      <x:c r="A50" s="3"/>
      <x:c r="B50" s="203"/>
      <x:c r="C50" s="184"/>
      <x:c r="D50" s="184"/>
      <x:c r="E50" s="184"/>
      <x:c r="F50" s="184"/>
      <x:c r="G50" s="184"/>
      <x:c r="H50" s="184"/>
      <x:c r="I50" s="184"/>
      <x:c r="J50" s="184"/>
      <x:c r="K50" s="204"/>
      <x:c r="L50" s="3"/>
    </x:row>
    <x:row r="51">
      <x:c r="A51" s="3"/>
      <x:c r="B51" s="203"/>
      <x:c r="C51" s="184"/>
      <x:c r="D51" s="184"/>
      <x:c r="E51" s="184"/>
      <x:c r="F51" s="184"/>
      <x:c r="G51" s="184"/>
      <x:c r="H51" s="184"/>
      <x:c r="I51" s="184"/>
      <x:c r="J51" s="184"/>
      <x:c r="K51" s="204"/>
      <x:c r="L51" s="3"/>
    </x:row>
    <x:row r="52">
      <x:c r="A52" s="3"/>
      <x:c r="B52" s="203"/>
      <x:c r="C52" s="184"/>
      <x:c r="D52" s="184"/>
      <x:c r="E52" s="184"/>
      <x:c r="F52" s="184"/>
      <x:c r="G52" s="184"/>
      <x:c r="H52" s="184"/>
      <x:c r="I52" s="184"/>
      <x:c r="J52" s="184"/>
      <x:c r="K52" s="204"/>
      <x:c r="L52" s="3"/>
    </x:row>
    <x:row r="53">
      <x:c r="A53" s="3"/>
      <x:c r="B53" s="203"/>
      <x:c r="C53" s="184"/>
      <x:c r="D53" s="184"/>
      <x:c r="E53" s="184"/>
      <x:c r="F53" s="184"/>
      <x:c r="G53" s="184"/>
      <x:c r="H53" s="184"/>
      <x:c r="I53" s="184"/>
      <x:c r="J53" s="184"/>
      <x:c r="K53" s="204"/>
      <x:c r="L53" s="3"/>
    </x:row>
    <x:row r="54">
      <x:c r="A54" s="3"/>
      <x:c r="B54" s="203"/>
      <x:c r="C54" s="184"/>
      <x:c r="D54" s="184"/>
      <x:c r="E54" s="184"/>
      <x:c r="F54" s="184"/>
      <x:c r="G54" s="184"/>
      <x:c r="H54" s="184"/>
      <x:c r="I54" s="184"/>
      <x:c r="J54" s="184"/>
      <x:c r="K54" s="204"/>
      <x:c r="L54" s="3"/>
    </x:row>
    <x:row r="55">
      <x:c r="A55" s="3"/>
      <x:c r="B55" s="203"/>
      <x:c r="C55" s="184"/>
      <x:c r="D55" s="184"/>
      <x:c r="E55" s="184"/>
      <x:c r="F55" s="184"/>
      <x:c r="G55" s="184"/>
      <x:c r="H55" s="184"/>
      <x:c r="I55" s="184"/>
      <x:c r="J55" s="184"/>
      <x:c r="K55" s="204"/>
      <x:c r="L55" s="3"/>
    </x:row>
    <x:row r="56">
      <x:c r="A56" s="3"/>
      <x:c r="B56" s="203"/>
      <x:c r="C56" s="184"/>
      <x:c r="D56" s="184"/>
      <x:c r="E56" s="184"/>
      <x:c r="F56" s="184"/>
      <x:c r="G56" s="184"/>
      <x:c r="H56" s="184"/>
      <x:c r="I56" s="184"/>
      <x:c r="J56" s="184"/>
      <x:c r="K56" s="204"/>
      <x:c r="L56" s="3"/>
    </x:row>
    <x:row r="57">
      <x:c r="A57" s="3"/>
      <x:c r="B57" s="203"/>
      <x:c r="C57" s="184"/>
      <x:c r="D57" s="184"/>
      <x:c r="E57" s="184"/>
      <x:c r="F57" s="184"/>
      <x:c r="G57" s="184"/>
      <x:c r="H57" s="184"/>
      <x:c r="I57" s="184"/>
      <x:c r="J57" s="184"/>
      <x:c r="K57" s="204"/>
      <x:c r="L57" s="3"/>
    </x:row>
    <x:row r="58">
      <x:c r="A58" s="3"/>
      <x:c r="B58" s="203"/>
      <x:c r="C58" s="184"/>
      <x:c r="D58" s="184"/>
      <x:c r="E58" s="184"/>
      <x:c r="F58" s="184"/>
      <x:c r="G58" s="184"/>
      <x:c r="H58" s="184"/>
      <x:c r="I58" s="184"/>
      <x:c r="J58" s="184"/>
      <x:c r="K58" s="204"/>
      <x:c r="L58" s="3"/>
    </x:row>
    <x:row r="59">
      <x:c r="A59" s="3"/>
      <x:c r="B59" s="203"/>
      <x:c r="C59" s="184"/>
      <x:c r="D59" s="184"/>
      <x:c r="E59" s="184"/>
      <x:c r="F59" s="184"/>
      <x:c r="G59" s="184"/>
      <x:c r="H59" s="184"/>
      <x:c r="I59" s="184"/>
      <x:c r="J59" s="184"/>
      <x:c r="K59" s="204"/>
      <x:c r="L59" s="3"/>
    </x:row>
    <x:row r="60">
      <x:c r="A60" s="3"/>
      <x:c r="B60" s="203"/>
      <x:c r="C60" s="184"/>
      <x:c r="D60" s="184"/>
      <x:c r="E60" s="184"/>
      <x:c r="F60" s="184"/>
      <x:c r="G60" s="184"/>
      <x:c r="H60" s="184"/>
      <x:c r="I60" s="184"/>
      <x:c r="J60" s="184"/>
      <x:c r="K60" s="204"/>
      <x:c r="L60" s="3"/>
    </x:row>
    <x:row r="61">
      <x:c r="A61" s="3"/>
      <x:c r="B61" s="203"/>
      <x:c r="C61" s="184"/>
      <x:c r="D61" s="184"/>
      <x:c r="E61" s="184"/>
      <x:c r="F61" s="184"/>
      <x:c r="G61" s="184"/>
      <x:c r="H61" s="184"/>
      <x:c r="I61" s="184"/>
      <x:c r="J61" s="184"/>
      <x:c r="K61" s="204"/>
      <x:c r="L61" s="3"/>
    </x:row>
    <x:row r="62">
      <x:c r="A62" s="3"/>
      <x:c r="B62" s="203"/>
      <x:c r="C62" s="184"/>
      <x:c r="D62" s="184"/>
      <x:c r="E62" s="184"/>
      <x:c r="F62" s="184"/>
      <x:c r="G62" s="184"/>
      <x:c r="H62" s="184"/>
      <x:c r="I62" s="184"/>
      <x:c r="J62" s="184"/>
      <x:c r="K62" s="204"/>
      <x:c r="L62" s="3"/>
    </x:row>
    <x:row r="63">
      <x:c r="A63" s="3"/>
      <x:c r="B63" s="203"/>
      <x:c r="C63" s="184"/>
      <x:c r="D63" s="184"/>
      <x:c r="E63" s="184"/>
      <x:c r="F63" s="184"/>
      <x:c r="G63" s="184"/>
      <x:c r="H63" s="184"/>
      <x:c r="I63" s="184"/>
      <x:c r="J63" s="184"/>
      <x:c r="K63" s="204"/>
      <x:c r="L63" s="3"/>
    </x:row>
    <x:row r="64">
      <x:c r="A64" s="3"/>
      <x:c r="B64" s="203"/>
      <x:c r="C64" s="184"/>
      <x:c r="D64" s="184"/>
      <x:c r="E64" s="184"/>
      <x:c r="F64" s="184"/>
      <x:c r="G64" s="184"/>
      <x:c r="H64" s="184"/>
      <x:c r="I64" s="184"/>
      <x:c r="J64" s="184"/>
      <x:c r="K64" s="204"/>
      <x:c r="L64" s="3"/>
    </x:row>
    <x:row r="65">
      <x:c r="A65" s="3"/>
      <x:c r="B65" s="203"/>
      <x:c r="C65" s="184"/>
      <x:c r="D65" s="184"/>
      <x:c r="E65" s="184"/>
      <x:c r="F65" s="184"/>
      <x:c r="G65" s="184"/>
      <x:c r="H65" s="184"/>
      <x:c r="I65" s="184"/>
      <x:c r="J65" s="184"/>
      <x:c r="K65" s="204"/>
      <x:c r="L65" s="3"/>
    </x:row>
    <x:row r="66">
      <x:c r="A66" s="3"/>
      <x:c r="B66" s="203"/>
      <x:c r="C66" s="184"/>
      <x:c r="D66" s="184"/>
      <x:c r="E66" s="184"/>
      <x:c r="F66" s="184"/>
      <x:c r="G66" s="184"/>
      <x:c r="H66" s="184"/>
      <x:c r="I66" s="184"/>
      <x:c r="J66" s="184"/>
      <x:c r="K66" s="204"/>
      <x:c r="L66" s="3"/>
    </x:row>
    <x:row r="67">
      <x:c r="A67" s="3"/>
      <x:c r="B67" s="203"/>
      <x:c r="C67" s="184"/>
      <x:c r="D67" s="184"/>
      <x:c r="E67" s="184"/>
      <x:c r="F67" s="184"/>
      <x:c r="G67" s="184"/>
      <x:c r="H67" s="184"/>
      <x:c r="I67" s="184"/>
      <x:c r="J67" s="184"/>
      <x:c r="K67" s="204"/>
      <x:c r="L67" s="3"/>
    </x:row>
    <x:row r="68">
      <x:c r="A68" s="3"/>
      <x:c r="B68" s="203"/>
      <x:c r="C68" s="184"/>
      <x:c r="D68" s="184"/>
      <x:c r="E68" s="184"/>
      <x:c r="F68" s="184"/>
      <x:c r="G68" s="184"/>
      <x:c r="H68" s="184"/>
      <x:c r="I68" s="184"/>
      <x:c r="J68" s="184"/>
      <x:c r="K68" s="204"/>
      <x:c r="L68" s="3"/>
    </x:row>
    <x:row r="69">
      <x:c r="A69" s="3"/>
      <x:c r="B69" s="203"/>
      <x:c r="C69" s="184"/>
      <x:c r="D69" s="184"/>
      <x:c r="E69" s="184"/>
      <x:c r="F69" s="184"/>
      <x:c r="G69" s="184"/>
      <x:c r="H69" s="184"/>
      <x:c r="I69" s="184"/>
      <x:c r="J69" s="184"/>
      <x:c r="K69" s="204"/>
      <x:c r="L69" s="3"/>
    </x:row>
    <x:row r="70">
      <x:c r="A70" s="3"/>
      <x:c r="B70" s="211"/>
      <x:c r="C70" s="212"/>
      <x:c r="D70" s="212"/>
      <x:c r="E70" s="212"/>
      <x:c r="F70" s="212"/>
      <x:c r="G70" s="212"/>
      <x:c r="H70" s="212"/>
      <x:c r="I70" s="212"/>
      <x:c r="J70" s="212"/>
      <x:c r="K70" s="21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mergeCells>
    <x:mergeCell ref="B2:K2"/>
    <x:mergeCell ref="B3:K3"/>
    <x:mergeCell ref="B4:K4"/>
    <x:mergeCell ref="B6:K6"/>
    <x:mergeCell ref="C7:K7"/>
    <x:mergeCell ref="C8:K8"/>
    <x:mergeCell ref="C9:K9"/>
    <x:mergeCell ref="C10:K10"/>
    <x:mergeCell ref="C11:K11"/>
    <x:mergeCell ref="B13:K13"/>
    <x:mergeCell ref="C14:K14"/>
    <x:mergeCell ref="C15:K15"/>
    <x:mergeCell ref="C16:K16"/>
    <x:mergeCell ref="C17:K17"/>
    <x:mergeCell ref="B19:K19"/>
    <x:mergeCell ref="B20:K20"/>
    <x:mergeCell ref="B21:K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18.889999389648438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8.889999389648438" hidden="0" customWidth="1"/>
    <x:col min="9" max="9" width="20" hidden="0" customWidth="1"/>
    <x:col min="10" max="10" width="24.440000534057617" hidden="0" customWidth="1"/>
    <x:col min="11" max="11" width="20" hidden="0" customWidth="1"/>
    <x:col min="12" max="12" width="1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169" t="str">
        <x:v>Dashboard</x:v>
      </x:c>
      <x:c r="C2" s="170" t="str"/>
      <x:c r="D2" s="170" t="str"/>
      <x:c r="E2" s="170" t="str"/>
      <x:c r="F2" s="170" t="str"/>
      <x:c r="G2" s="170" t="str"/>
      <x:c r="H2" s="170" t="str"/>
      <x:c r="I2" s="170" t="str"/>
      <x:c r="J2" s="170" t="str"/>
      <x:c r="K2" s="171" t="str"/>
      <x:c r="L2" s="3"/>
    </x:row>
    <x:row r="3">
      <x:c r="A3" s="3"/>
      <x:c r="B3" s="172" t="str">
        <x:v>Your paycheck truth in one page. Review this after completing the input tabs.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173" t="str"/>
      <x:c r="L3" s="3"/>
    </x:row>
    <x:row r="4">
      <x:c r="A4" s="3"/>
      <x:c r="B4" s="174" t="str">
        <x:v>If one number feels uncomfortable, that is the leak telling you where to look.</x:v>
      </x:c>
      <x:c r="C4" s="175" t="str"/>
      <x:c r="D4" s="175" t="str"/>
      <x:c r="E4" s="175" t="str"/>
      <x:c r="F4" s="175" t="str"/>
      <x:c r="G4" s="175" t="str"/>
      <x:c r="H4" s="175" t="str"/>
      <x:c r="I4" s="175" t="str"/>
      <x:c r="J4" s="175" t="str"/>
      <x:c r="K4" s="176" t="str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198" t="str">
        <x:v>Money Snapshot</x:v>
      </x:c>
      <x:c r="C6" s="199" t="str">
        <x:v>Money Snapshot</x:v>
      </x:c>
      <x:c r="D6" s="199" t="str">
        <x:v>Money Snapshot</x:v>
      </x:c>
      <x:c r="E6" s="199" t="str">
        <x:v>Money Snapshot</x:v>
      </x:c>
      <x:c r="F6" s="199" t="str">
        <x:v>Money Snapshot</x:v>
      </x:c>
      <x:c r="G6" s="199" t="str">
        <x:v>Money Snapshot</x:v>
      </x:c>
      <x:c r="H6" s="199" t="str">
        <x:v>Money Snapshot</x:v>
      </x:c>
      <x:c r="I6" s="199" t="str">
        <x:v>Money Snapshot</x:v>
      </x:c>
      <x:c r="J6" s="199" t="str">
        <x:v>Money Snapshot</x:v>
      </x:c>
      <x:c r="K6" s="200" t="str">
        <x:v>Money Snapshot</x:v>
      </x:c>
      <x:c r="L6" s="3"/>
    </x:row>
    <x:row r="7">
      <x:c r="A7" s="3"/>
      <x:c r="B7" s="236" t="str">
        <x:v>Take-home pay</x:v>
      </x:c>
      <x:c r="C7" s="215" t="str"/>
      <x:c r="D7" s="216" t="str">
        <x:v>Committed money</x:v>
      </x:c>
      <x:c r="E7" s="216" t="str"/>
      <x:c r="F7" s="217" t="str">
        <x:v>Money leak risk</x:v>
      </x:c>
      <x:c r="G7" s="217" t="str"/>
      <x:c r="H7" s="218" t="str">
        <x:v>True flex cash</x:v>
      </x:c>
      <x:c r="I7" s="218" t="str"/>
      <x:c r="J7" s="219" t="str">
        <x:v>Emergency gap</x:v>
      </x:c>
      <x:c r="K7" s="237" t="str"/>
      <x:c r="L7" s="3"/>
    </x:row>
    <x:row r="8">
      <x:c r="A8" s="3"/>
      <x:c r="B8" s="238" t="n">
        <x:f>'Paycheck Map'!C8</x:f>
        <x:v>4850</x:v>
      </x:c>
      <x:c r="C8" s="222" t="str"/>
      <x:c r="D8" s="223" t="n">
        <x:f>'Paycheck Map'!G8</x:f>
        <x:v>5278</x:v>
      </x:c>
      <x:c r="E8" s="223" t="str"/>
      <x:c r="F8" s="224" t="n">
        <x:f>'Paycheck Map'!G9</x:f>
        <x:v>428</x:v>
      </x:c>
      <x:c r="G8" s="224" t="str"/>
      <x:c r="H8" s="225" t="n">
        <x:f>'Paycheck Map'!G10</x:f>
        <x:v>0</x:v>
      </x:c>
      <x:c r="I8" s="225" t="str"/>
      <x:c r="J8" s="226" t="n">
        <x:f>'Paycheck Map'!G11</x:f>
        <x:v>300</x:v>
      </x:c>
      <x:c r="K8" s="239" t="str"/>
      <x:c r="L8" s="3"/>
    </x:row>
    <x:row r="9">
      <x:c r="A9" s="3"/>
      <x:c r="B9" s="238" t="str"/>
      <x:c r="C9" s="222" t="str"/>
      <x:c r="D9" s="223" t="str"/>
      <x:c r="E9" s="223" t="str"/>
      <x:c r="F9" s="224" t="str"/>
      <x:c r="G9" s="224" t="str"/>
      <x:c r="H9" s="225" t="str"/>
      <x:c r="I9" s="225" t="str"/>
      <x:c r="J9" s="226" t="str"/>
      <x:c r="K9" s="239" t="str"/>
      <x:c r="L9" s="3"/>
    </x:row>
    <x:row r="10">
      <x:c r="A10" s="3"/>
      <x:c r="B10" s="203"/>
      <x:c r="C10" s="184"/>
      <x:c r="D10" s="184"/>
      <x:c r="E10" s="184"/>
      <x:c r="F10" s="184"/>
      <x:c r="G10" s="184"/>
      <x:c r="H10" s="184"/>
      <x:c r="I10" s="184"/>
      <x:c r="J10" s="184"/>
      <x:c r="K10" s="204"/>
      <x:c r="L10" s="3"/>
    </x:row>
    <x:row r="11">
      <x:c r="A11" s="3"/>
      <x:c r="B11" s="203"/>
      <x:c r="C11" s="184"/>
      <x:c r="D11" s="184"/>
      <x:c r="E11" s="184"/>
      <x:c r="F11" s="184"/>
      <x:c r="G11" s="184"/>
      <x:c r="H11" s="184"/>
      <x:c r="I11" s="184"/>
      <x:c r="J11" s="184"/>
      <x:c r="K11" s="204"/>
      <x:c r="L11" s="3"/>
    </x:row>
    <x:row r="12">
      <x:c r="A12" s="3"/>
      <x:c r="B12" s="205" t="str">
        <x:v>Paycheck Allocation</x:v>
      </x:c>
      <x:c r="C12" s="187" t="str">
        <x:v>Paycheck Allocation</x:v>
      </x:c>
      <x:c r="D12" s="187" t="str">
        <x:v>Paycheck Allocation</x:v>
      </x:c>
      <x:c r="E12" s="187" t="str">
        <x:v>Paycheck Allocation</x:v>
      </x:c>
      <x:c r="F12" s="184"/>
      <x:c r="G12" s="187" t="str">
        <x:v>What the numbers mean</x:v>
      </x:c>
      <x:c r="H12" s="187" t="str">
        <x:v>What the numbers mean</x:v>
      </x:c>
      <x:c r="I12" s="187" t="str">
        <x:v>What the numbers mean</x:v>
      </x:c>
      <x:c r="J12" s="187" t="str">
        <x:v>What the numbers mean</x:v>
      </x:c>
      <x:c r="K12" s="206" t="str">
        <x:v>What the numbers mean</x:v>
      </x:c>
      <x:c r="L12" s="3"/>
    </x:row>
    <x:row r="13">
      <x:c r="A13" s="3"/>
      <x:c r="B13" s="240" t="str">
        <x:v>Category</x:v>
      </x:c>
      <x:c r="C13" s="229" t="str">
        <x:v>Amount</x:v>
      </x:c>
      <x:c r="D13" s="229" t="str">
        <x:v>% of pay</x:v>
      </x:c>
      <x:c r="E13" s="229" t="str">
        <x:v>Signal</x:v>
      </x:c>
      <x:c r="F13" s="184"/>
      <x:c r="G13" s="230" t="str">
        <x:v>Money leak risk</x:v>
      </x:c>
      <x:c r="H13" s="193" t="str"/>
      <x:c r="I13" s="193" t="str"/>
      <x:c r="J13" s="193" t="str"/>
      <x:c r="K13" s="210" t="str"/>
      <x:c r="L13" s="3"/>
    </x:row>
    <x:row r="14">
      <x:c r="A14" s="3"/>
      <x:c r="B14" s="241" t="str">
        <x:v>Bills</x:v>
      </x:c>
      <x:c r="C14" s="232" t="n">
        <x:f>'Paycheck Map'!C9</x:f>
        <x:v>2940</x:v>
      </x:c>
      <x:c r="D14" s="233" t="n">
        <x:f>C14/$B$8</x:f>
        <x:v>0.6061855670103092</x:v>
      </x:c>
      <x:c r="E14" s="181" t="str">
        <x:f>IF(D14&gt;0.55,"Heavy",IF(D14&gt;0.4,"Watch","OK"))</x:f>
        <x:v>Heavy</x:v>
      </x:c>
      <x:c r="F14" s="184"/>
      <x:c r="G14" s="230" t="str">
        <x:v>If this is above $0, your paycheck is overbooked before the month starts.</x:v>
      </x:c>
      <x:c r="H14" s="193" t="str"/>
      <x:c r="I14" s="193" t="str"/>
      <x:c r="J14" s="193" t="str"/>
      <x:c r="K14" s="210" t="str"/>
      <x:c r="L14" s="3"/>
    </x:row>
    <x:row r="15">
      <x:c r="A15" s="3"/>
      <x:c r="B15" s="241" t="str">
        <x:v>Debt minimums</x:v>
      </x:c>
      <x:c r="C15" s="232" t="n">
        <x:f>'Paycheck Map'!C10</x:f>
        <x:v>520</x:v>
      </x:c>
      <x:c r="D15" s="233" t="n">
        <x:f>C15/$B$8</x:f>
        <x:v>0.10721649484536082</x:v>
      </x:c>
      <x:c r="E15" s="181" t="str">
        <x:f>IF(D15&gt;0.15,"Heavy",IF(D15&gt;0.08,"Watch","OK"))</x:f>
        <x:v>Watch</x:v>
      </x:c>
      <x:c r="F15" s="184"/>
      <x:c r="G15" s="230" t="str">
        <x:v>True flex cash</x:v>
      </x:c>
      <x:c r="H15" s="193" t="str"/>
      <x:c r="I15" s="193" t="str"/>
      <x:c r="J15" s="193" t="str"/>
      <x:c r="K15" s="210" t="str"/>
      <x:c r="L15" s="3"/>
    </x:row>
    <x:row r="16">
      <x:c r="A16" s="3"/>
      <x:c r="B16" s="241" t="str">
        <x:v>Subscriptions</x:v>
      </x:c>
      <x:c r="C16" s="232" t="n">
        <x:f>'Paycheck Map'!C11</x:f>
        <x:v>218</x:v>
      </x:c>
      <x:c r="D16" s="233" t="n">
        <x:f>C16/$B$8</x:f>
        <x:v>0.044948453608247424</x:v>
      </x:c>
      <x:c r="E16" s="181" t="str">
        <x:f>IF(D16&gt;0.05,"Leak check",IF(D16&gt;0.03,"Watch","OK"))</x:f>
        <x:v>Watch</x:v>
      </x:c>
      <x:c r="F16" s="184"/>
      <x:c r="G16" s="230" t="str">
        <x:v>This is the amount you can spend without pretending bills or savings are optional.</x:v>
      </x:c>
      <x:c r="H16" s="193" t="str"/>
      <x:c r="I16" s="193" t="str"/>
      <x:c r="J16" s="193" t="str"/>
      <x:c r="K16" s="210" t="str"/>
      <x:c r="L16" s="3"/>
    </x:row>
    <x:row r="17">
      <x:c r="A17" s="3"/>
      <x:c r="B17" s="241" t="str">
        <x:v>Savings target</x:v>
      </x:c>
      <x:c r="C17" s="232" t="n">
        <x:f>'Paycheck Map'!C12</x:f>
        <x:v>400</x:v>
      </x:c>
      <x:c r="D17" s="233" t="n">
        <x:f>C17/$B$8</x:f>
        <x:v>0.08247422680412371</x:v>
      </x:c>
      <x:c r="E17" s="181" t="str">
        <x:f>IF(D17&lt;0.05,"Too low","OK")</x:f>
        <x:v>OK</x:v>
      </x:c>
      <x:c r="F17" s="184"/>
      <x:c r="G17" s="230" t="str">
        <x:v>First move</x:v>
      </x:c>
      <x:c r="H17" s="193" t="str"/>
      <x:c r="I17" s="193" t="str"/>
      <x:c r="J17" s="193" t="str"/>
      <x:c r="K17" s="210" t="str"/>
      <x:c r="L17" s="3"/>
    </x:row>
    <x:row r="18">
      <x:c r="A18" s="3"/>
      <x:c r="B18" s="241" t="str">
        <x:v>Life + essentials</x:v>
      </x:c>
      <x:c r="C18" s="232" t="n">
        <x:f>'Paycheck Map'!C13+'Paycheck Map'!C14+'Paycheck Map'!C15</x:f>
        <x:v>1200</x:v>
      </x:c>
      <x:c r="D18" s="233" t="n">
        <x:f>C18/$B$8</x:f>
        <x:v>0.24742268041237114</x:v>
      </x:c>
      <x:c r="E18" s="181" t="str">
        <x:f>IF(D18&gt;0.35,"Tight",IF(D18&gt;0.25,"Watch","OK"))</x:f>
        <x:v>OK</x:v>
      </x:c>
      <x:c r="F18" s="184"/>
      <x:c r="G18" s="234" t="str">
        <x:f>'Paycheck Map'!G13</x:f>
        <x:v>Cut or reschedule $428</x:v>
      </x:c>
      <x:c r="H18" s="234" t="str"/>
      <x:c r="I18" s="234" t="str"/>
      <x:c r="J18" s="234" t="str"/>
      <x:c r="K18" s="242" t="str"/>
      <x:c r="L18" s="3"/>
    </x:row>
    <x:row r="19">
      <x:c r="A19" s="3"/>
      <x:c r="B19" s="203"/>
      <x:c r="C19" s="184"/>
      <x:c r="D19" s="184"/>
      <x:c r="E19" s="184"/>
      <x:c r="F19" s="184"/>
      <x:c r="G19" s="184"/>
      <x:c r="H19" s="184"/>
      <x:c r="I19" s="184"/>
      <x:c r="J19" s="184"/>
      <x:c r="K19" s="204"/>
      <x:c r="L19" s="3"/>
    </x:row>
    <x:row r="20">
      <x:c r="A20" s="3"/>
      <x:c r="B20" s="203"/>
      <x:c r="C20" s="184"/>
      <x:c r="D20" s="184"/>
      <x:c r="E20" s="184"/>
      <x:c r="F20" s="184"/>
      <x:c r="G20" s="184"/>
      <x:c r="H20" s="184"/>
      <x:c r="I20" s="184"/>
      <x:c r="J20" s="184"/>
      <x:c r="K20" s="204"/>
      <x:c r="L20" s="3"/>
    </x:row>
    <x:row r="21">
      <x:c r="A21" s="3"/>
      <x:c r="B21" s="205" t="str">
        <x:v>Mini money meeting</x:v>
      </x:c>
      <x:c r="C21" s="187" t="str">
        <x:v>Mini money meeting</x:v>
      </x:c>
      <x:c r="D21" s="187" t="str">
        <x:v>Mini money meeting</x:v>
      </x:c>
      <x:c r="E21" s="187" t="str">
        <x:v>Mini money meeting</x:v>
      </x:c>
      <x:c r="F21" s="187" t="str">
        <x:v>Mini money meeting</x:v>
      </x:c>
      <x:c r="G21" s="187" t="str">
        <x:v>Mini money meeting</x:v>
      </x:c>
      <x:c r="H21" s="187" t="str">
        <x:v>Mini money meeting</x:v>
      </x:c>
      <x:c r="I21" s="187" t="str">
        <x:v>Mini money meeting</x:v>
      </x:c>
      <x:c r="J21" s="187" t="str">
        <x:v>Mini money meeting</x:v>
      </x:c>
      <x:c r="K21" s="206" t="str">
        <x:v>Mini money meeting</x:v>
      </x:c>
      <x:c r="L21" s="3"/>
    </x:row>
    <x:row r="22">
      <x:c r="A22" s="3"/>
      <x:c r="B22" s="207" t="str">
        <x:v>1</x:v>
      </x:c>
      <x:c r="C22" s="190" t="str">
        <x:v>What number surprised me most?</x:v>
      </x:c>
      <x:c r="D22" s="190" t="str"/>
      <x:c r="E22" s="190" t="str"/>
      <x:c r="F22" s="190" t="str"/>
      <x:c r="G22" s="190" t="str"/>
      <x:c r="H22" s="190" t="str"/>
      <x:c r="I22" s="190" t="str"/>
      <x:c r="J22" s="190" t="str"/>
      <x:c r="K22" s="208" t="str"/>
      <x:c r="L22" s="3"/>
    </x:row>
    <x:row r="23">
      <x:c r="A23" s="3"/>
      <x:c r="B23" s="207" t="str">
        <x:v>2</x:v>
      </x:c>
      <x:c r="C23" s="190" t="str">
        <x:v>What bill timing problem can I fix this month?</x:v>
      </x:c>
      <x:c r="D23" s="190" t="str"/>
      <x:c r="E23" s="190" t="str"/>
      <x:c r="F23" s="190" t="str"/>
      <x:c r="G23" s="190" t="str"/>
      <x:c r="H23" s="190" t="str"/>
      <x:c r="I23" s="190" t="str"/>
      <x:c r="J23" s="190" t="str"/>
      <x:c r="K23" s="208" t="str"/>
      <x:c r="L23" s="3"/>
    </x:row>
    <x:row r="24">
      <x:c r="A24" s="3"/>
      <x:c r="B24" s="207" t="str">
        <x:v>3</x:v>
      </x:c>
      <x:c r="C24" s="190" t="str">
        <x:v>What subscription can I cut, pause, or justify?</x:v>
      </x:c>
      <x:c r="D24" s="190" t="str"/>
      <x:c r="E24" s="190" t="str"/>
      <x:c r="F24" s="190" t="str"/>
      <x:c r="G24" s="190" t="str"/>
      <x:c r="H24" s="190" t="str"/>
      <x:c r="I24" s="190" t="str"/>
      <x:c r="J24" s="190" t="str"/>
      <x:c r="K24" s="208" t="str"/>
      <x:c r="L24" s="3"/>
    </x:row>
    <x:row r="25">
      <x:c r="A25" s="3"/>
      <x:c r="B25" s="207" t="str">
        <x:v>4</x:v>
      </x:c>
      <x:c r="C25" s="190" t="str">
        <x:v>What one move will make next payday calmer?</x:v>
      </x:c>
      <x:c r="D25" s="190" t="str"/>
      <x:c r="E25" s="190" t="str"/>
      <x:c r="F25" s="190" t="str"/>
      <x:c r="G25" s="190" t="str"/>
      <x:c r="H25" s="190" t="str"/>
      <x:c r="I25" s="190" t="str"/>
      <x:c r="J25" s="190" t="str"/>
      <x:c r="K25" s="208" t="str"/>
      <x:c r="L25" s="3"/>
    </x:row>
    <x:row r="26">
      <x:c r="A26" s="3"/>
      <x:c r="B26" s="203"/>
      <x:c r="C26" s="184"/>
      <x:c r="D26" s="184"/>
      <x:c r="E26" s="184"/>
      <x:c r="F26" s="184"/>
      <x:c r="G26" s="184"/>
      <x:c r="H26" s="184"/>
      <x:c r="I26" s="184"/>
      <x:c r="J26" s="184"/>
      <x:c r="K26" s="204"/>
      <x:c r="L26" s="3"/>
    </x:row>
    <x:row r="27">
      <x:c r="A27" s="3"/>
      <x:c r="B27" s="203"/>
      <x:c r="C27" s="184"/>
      <x:c r="D27" s="184"/>
      <x:c r="E27" s="184"/>
      <x:c r="F27" s="184"/>
      <x:c r="G27" s="184"/>
      <x:c r="H27" s="184"/>
      <x:c r="I27" s="184"/>
      <x:c r="J27" s="184"/>
      <x:c r="K27" s="204"/>
      <x:c r="L27" s="3"/>
    </x:row>
    <x:row r="28">
      <x:c r="A28" s="3"/>
      <x:c r="B28" s="203"/>
      <x:c r="C28" s="184"/>
      <x:c r="D28" s="184"/>
      <x:c r="E28" s="184"/>
      <x:c r="F28" s="184"/>
      <x:c r="G28" s="184"/>
      <x:c r="H28" s="184"/>
      <x:c r="I28" s="184"/>
      <x:c r="J28" s="184"/>
      <x:c r="K28" s="204"/>
      <x:c r="L28" s="3"/>
    </x:row>
    <x:row r="29">
      <x:c r="A29" s="3"/>
      <x:c r="B29" s="203"/>
      <x:c r="C29" s="184"/>
      <x:c r="D29" s="184"/>
      <x:c r="E29" s="184"/>
      <x:c r="F29" s="184"/>
      <x:c r="G29" s="184"/>
      <x:c r="H29" s="184"/>
      <x:c r="I29" s="184"/>
      <x:c r="J29" s="184"/>
      <x:c r="K29" s="204"/>
      <x:c r="L29" s="3"/>
    </x:row>
    <x:row r="30">
      <x:c r="A30" s="3"/>
      <x:c r="B30" s="203"/>
      <x:c r="C30" s="184"/>
      <x:c r="D30" s="184"/>
      <x:c r="E30" s="184"/>
      <x:c r="F30" s="184"/>
      <x:c r="G30" s="184"/>
      <x:c r="H30" s="184"/>
      <x:c r="I30" s="184"/>
      <x:c r="J30" s="184"/>
      <x:c r="K30" s="204"/>
      <x:c r="L30" s="3"/>
    </x:row>
    <x:row r="31">
      <x:c r="A31" s="3"/>
      <x:c r="B31" s="203"/>
      <x:c r="C31" s="184"/>
      <x:c r="D31" s="184"/>
      <x:c r="E31" s="184"/>
      <x:c r="F31" s="184"/>
      <x:c r="G31" s="184"/>
      <x:c r="H31" s="184"/>
      <x:c r="I31" s="184"/>
      <x:c r="J31" s="184"/>
      <x:c r="K31" s="204"/>
      <x:c r="L31" s="3"/>
    </x:row>
    <x:row r="32">
      <x:c r="A32" s="3"/>
      <x:c r="B32" s="203"/>
      <x:c r="C32" s="184"/>
      <x:c r="D32" s="184"/>
      <x:c r="E32" s="184"/>
      <x:c r="F32" s="184"/>
      <x:c r="G32" s="184"/>
      <x:c r="H32" s="184"/>
      <x:c r="I32" s="184"/>
      <x:c r="J32" s="184"/>
      <x:c r="K32" s="204"/>
      <x:c r="L32" s="3"/>
    </x:row>
    <x:row r="33">
      <x:c r="A33" s="3"/>
      <x:c r="B33" s="203"/>
      <x:c r="C33" s="184"/>
      <x:c r="D33" s="184"/>
      <x:c r="E33" s="184"/>
      <x:c r="F33" s="184"/>
      <x:c r="G33" s="184"/>
      <x:c r="H33" s="184"/>
      <x:c r="I33" s="184"/>
      <x:c r="J33" s="184"/>
      <x:c r="K33" s="204"/>
      <x:c r="L33" s="3"/>
    </x:row>
    <x:row r="34">
      <x:c r="A34" s="3"/>
      <x:c r="B34" s="203"/>
      <x:c r="C34" s="184"/>
      <x:c r="D34" s="184"/>
      <x:c r="E34" s="184"/>
      <x:c r="F34" s="184"/>
      <x:c r="G34" s="184"/>
      <x:c r="H34" s="184"/>
      <x:c r="I34" s="184"/>
      <x:c r="J34" s="184"/>
      <x:c r="K34" s="204"/>
      <x:c r="L34" s="3"/>
    </x:row>
    <x:row r="35">
      <x:c r="A35" s="3"/>
      <x:c r="B35" s="203"/>
      <x:c r="C35" s="184"/>
      <x:c r="D35" s="184"/>
      <x:c r="E35" s="184"/>
      <x:c r="F35" s="184"/>
      <x:c r="G35" s="184"/>
      <x:c r="H35" s="184"/>
      <x:c r="I35" s="184"/>
      <x:c r="J35" s="184"/>
      <x:c r="K35" s="204"/>
      <x:c r="L35" s="3"/>
    </x:row>
    <x:row r="36">
      <x:c r="A36" s="3"/>
      <x:c r="B36" s="203"/>
      <x:c r="C36" s="184"/>
      <x:c r="D36" s="184"/>
      <x:c r="E36" s="184"/>
      <x:c r="F36" s="184"/>
      <x:c r="G36" s="184"/>
      <x:c r="H36" s="184"/>
      <x:c r="I36" s="184"/>
      <x:c r="J36" s="184"/>
      <x:c r="K36" s="204"/>
      <x:c r="L36" s="3"/>
    </x:row>
    <x:row r="37">
      <x:c r="A37" s="3"/>
      <x:c r="B37" s="203"/>
      <x:c r="C37" s="184"/>
      <x:c r="D37" s="184"/>
      <x:c r="E37" s="184"/>
      <x:c r="F37" s="184"/>
      <x:c r="G37" s="184"/>
      <x:c r="H37" s="184"/>
      <x:c r="I37" s="184"/>
      <x:c r="J37" s="184"/>
      <x:c r="K37" s="204"/>
      <x:c r="L37" s="3"/>
    </x:row>
    <x:row r="38">
      <x:c r="A38" s="3"/>
      <x:c r="B38" s="203"/>
      <x:c r="C38" s="184"/>
      <x:c r="D38" s="184"/>
      <x:c r="E38" s="184"/>
      <x:c r="F38" s="184"/>
      <x:c r="G38" s="184"/>
      <x:c r="H38" s="184"/>
      <x:c r="I38" s="184"/>
      <x:c r="J38" s="184"/>
      <x:c r="K38" s="204"/>
      <x:c r="L38" s="3"/>
    </x:row>
    <x:row r="39">
      <x:c r="A39" s="3"/>
      <x:c r="B39" s="203"/>
      <x:c r="C39" s="184"/>
      <x:c r="D39" s="184"/>
      <x:c r="E39" s="184"/>
      <x:c r="F39" s="184"/>
      <x:c r="G39" s="184"/>
      <x:c r="H39" s="184"/>
      <x:c r="I39" s="184"/>
      <x:c r="J39" s="184"/>
      <x:c r="K39" s="204"/>
      <x:c r="L39" s="3"/>
    </x:row>
    <x:row r="40">
      <x:c r="A40" s="3"/>
      <x:c r="B40" s="203"/>
      <x:c r="C40" s="184"/>
      <x:c r="D40" s="184"/>
      <x:c r="E40" s="184"/>
      <x:c r="F40" s="184"/>
      <x:c r="G40" s="184"/>
      <x:c r="H40" s="184"/>
      <x:c r="I40" s="184"/>
      <x:c r="J40" s="184"/>
      <x:c r="K40" s="204"/>
      <x:c r="L40" s="3"/>
    </x:row>
    <x:row r="41">
      <x:c r="A41" s="3"/>
      <x:c r="B41" s="203"/>
      <x:c r="C41" s="184"/>
      <x:c r="D41" s="184"/>
      <x:c r="E41" s="184"/>
      <x:c r="F41" s="184"/>
      <x:c r="G41" s="184"/>
      <x:c r="H41" s="184"/>
      <x:c r="I41" s="184"/>
      <x:c r="J41" s="184"/>
      <x:c r="K41" s="204"/>
      <x:c r="L41" s="3"/>
    </x:row>
    <x:row r="42">
      <x:c r="A42" s="3"/>
      <x:c r="B42" s="203"/>
      <x:c r="C42" s="184"/>
      <x:c r="D42" s="184"/>
      <x:c r="E42" s="184"/>
      <x:c r="F42" s="184"/>
      <x:c r="G42" s="184"/>
      <x:c r="H42" s="184"/>
      <x:c r="I42" s="184"/>
      <x:c r="J42" s="184"/>
      <x:c r="K42" s="204"/>
      <x:c r="L42" s="3"/>
    </x:row>
    <x:row r="43">
      <x:c r="A43" s="3"/>
      <x:c r="B43" s="203"/>
      <x:c r="C43" s="184"/>
      <x:c r="D43" s="184"/>
      <x:c r="E43" s="184"/>
      <x:c r="F43" s="184"/>
      <x:c r="G43" s="184"/>
      <x:c r="H43" s="184"/>
      <x:c r="I43" s="184"/>
      <x:c r="J43" s="184"/>
      <x:c r="K43" s="204"/>
      <x:c r="L43" s="3"/>
    </x:row>
    <x:row r="44">
      <x:c r="A44" s="3"/>
      <x:c r="B44" s="203"/>
      <x:c r="C44" s="184"/>
      <x:c r="D44" s="184"/>
      <x:c r="E44" s="184"/>
      <x:c r="F44" s="184"/>
      <x:c r="G44" s="184"/>
      <x:c r="H44" s="184"/>
      <x:c r="I44" s="184"/>
      <x:c r="J44" s="184"/>
      <x:c r="K44" s="204"/>
      <x:c r="L44" s="3"/>
    </x:row>
    <x:row r="45">
      <x:c r="A45" s="3"/>
      <x:c r="B45" s="203"/>
      <x:c r="C45" s="184"/>
      <x:c r="D45" s="184"/>
      <x:c r="E45" s="184"/>
      <x:c r="F45" s="184"/>
      <x:c r="G45" s="184"/>
      <x:c r="H45" s="184"/>
      <x:c r="I45" s="184"/>
      <x:c r="J45" s="184"/>
      <x:c r="K45" s="204"/>
      <x:c r="L45" s="3"/>
    </x:row>
    <x:row r="46">
      <x:c r="A46" s="3"/>
      <x:c r="B46" s="203"/>
      <x:c r="C46" s="184"/>
      <x:c r="D46" s="184"/>
      <x:c r="E46" s="184"/>
      <x:c r="F46" s="184"/>
      <x:c r="G46" s="184"/>
      <x:c r="H46" s="184"/>
      <x:c r="I46" s="184"/>
      <x:c r="J46" s="184"/>
      <x:c r="K46" s="204"/>
      <x:c r="L46" s="3"/>
    </x:row>
    <x:row r="47">
      <x:c r="A47" s="3"/>
      <x:c r="B47" s="203"/>
      <x:c r="C47" s="184"/>
      <x:c r="D47" s="184"/>
      <x:c r="E47" s="184"/>
      <x:c r="F47" s="184"/>
      <x:c r="G47" s="184"/>
      <x:c r="H47" s="184"/>
      <x:c r="I47" s="184"/>
      <x:c r="J47" s="184"/>
      <x:c r="K47" s="204"/>
      <x:c r="L47" s="3"/>
    </x:row>
    <x:row r="48">
      <x:c r="A48" s="3"/>
      <x:c r="B48" s="203"/>
      <x:c r="C48" s="184"/>
      <x:c r="D48" s="184"/>
      <x:c r="E48" s="184"/>
      <x:c r="F48" s="184"/>
      <x:c r="G48" s="184"/>
      <x:c r="H48" s="184"/>
      <x:c r="I48" s="184"/>
      <x:c r="J48" s="184"/>
      <x:c r="K48" s="204"/>
      <x:c r="L48" s="3"/>
    </x:row>
    <x:row r="49">
      <x:c r="A49" s="3"/>
      <x:c r="B49" s="203"/>
      <x:c r="C49" s="184"/>
      <x:c r="D49" s="184"/>
      <x:c r="E49" s="184"/>
      <x:c r="F49" s="184"/>
      <x:c r="G49" s="184"/>
      <x:c r="H49" s="184"/>
      <x:c r="I49" s="184"/>
      <x:c r="J49" s="184"/>
      <x:c r="K49" s="204"/>
      <x:c r="L49" s="3"/>
    </x:row>
    <x:row r="50">
      <x:c r="A50" s="3"/>
      <x:c r="B50" s="203"/>
      <x:c r="C50" s="184"/>
      <x:c r="D50" s="184"/>
      <x:c r="E50" s="184"/>
      <x:c r="F50" s="184"/>
      <x:c r="G50" s="184"/>
      <x:c r="H50" s="184"/>
      <x:c r="I50" s="184"/>
      <x:c r="J50" s="184"/>
      <x:c r="K50" s="204"/>
      <x:c r="L50" s="3"/>
    </x:row>
    <x:row r="51">
      <x:c r="A51" s="3"/>
      <x:c r="B51" s="203"/>
      <x:c r="C51" s="184"/>
      <x:c r="D51" s="184"/>
      <x:c r="E51" s="184"/>
      <x:c r="F51" s="184"/>
      <x:c r="G51" s="184"/>
      <x:c r="H51" s="184"/>
      <x:c r="I51" s="184"/>
      <x:c r="J51" s="184"/>
      <x:c r="K51" s="204"/>
      <x:c r="L51" s="3"/>
    </x:row>
    <x:row r="52">
      <x:c r="A52" s="3"/>
      <x:c r="B52" s="203"/>
      <x:c r="C52" s="184"/>
      <x:c r="D52" s="184"/>
      <x:c r="E52" s="184"/>
      <x:c r="F52" s="184"/>
      <x:c r="G52" s="184"/>
      <x:c r="H52" s="184"/>
      <x:c r="I52" s="184"/>
      <x:c r="J52" s="184"/>
      <x:c r="K52" s="204"/>
      <x:c r="L52" s="3"/>
    </x:row>
    <x:row r="53">
      <x:c r="A53" s="3"/>
      <x:c r="B53" s="203"/>
      <x:c r="C53" s="184"/>
      <x:c r="D53" s="184"/>
      <x:c r="E53" s="184"/>
      <x:c r="F53" s="184"/>
      <x:c r="G53" s="184"/>
      <x:c r="H53" s="184"/>
      <x:c r="I53" s="184"/>
      <x:c r="J53" s="184"/>
      <x:c r="K53" s="204"/>
      <x:c r="L53" s="3"/>
    </x:row>
    <x:row r="54">
      <x:c r="A54" s="3"/>
      <x:c r="B54" s="203"/>
      <x:c r="C54" s="184"/>
      <x:c r="D54" s="184"/>
      <x:c r="E54" s="184"/>
      <x:c r="F54" s="184"/>
      <x:c r="G54" s="184"/>
      <x:c r="H54" s="184"/>
      <x:c r="I54" s="184"/>
      <x:c r="J54" s="184"/>
      <x:c r="K54" s="204"/>
      <x:c r="L54" s="3"/>
    </x:row>
    <x:row r="55">
      <x:c r="A55" s="3"/>
      <x:c r="B55" s="203"/>
      <x:c r="C55" s="184"/>
      <x:c r="D55" s="184"/>
      <x:c r="E55" s="184"/>
      <x:c r="F55" s="184"/>
      <x:c r="G55" s="184"/>
      <x:c r="H55" s="184"/>
      <x:c r="I55" s="184"/>
      <x:c r="J55" s="184"/>
      <x:c r="K55" s="204"/>
      <x:c r="L55" s="3"/>
    </x:row>
    <x:row r="56">
      <x:c r="A56" s="3"/>
      <x:c r="B56" s="203"/>
      <x:c r="C56" s="184"/>
      <x:c r="D56" s="184"/>
      <x:c r="E56" s="184"/>
      <x:c r="F56" s="184"/>
      <x:c r="G56" s="184"/>
      <x:c r="H56" s="184"/>
      <x:c r="I56" s="184"/>
      <x:c r="J56" s="184"/>
      <x:c r="K56" s="204"/>
      <x:c r="L56" s="3"/>
    </x:row>
    <x:row r="57">
      <x:c r="A57" s="3"/>
      <x:c r="B57" s="203"/>
      <x:c r="C57" s="184"/>
      <x:c r="D57" s="184"/>
      <x:c r="E57" s="184"/>
      <x:c r="F57" s="184"/>
      <x:c r="G57" s="184"/>
      <x:c r="H57" s="184"/>
      <x:c r="I57" s="184"/>
      <x:c r="J57" s="184"/>
      <x:c r="K57" s="204"/>
      <x:c r="L57" s="3"/>
    </x:row>
    <x:row r="58">
      <x:c r="A58" s="3"/>
      <x:c r="B58" s="203"/>
      <x:c r="C58" s="184"/>
      <x:c r="D58" s="184"/>
      <x:c r="E58" s="184"/>
      <x:c r="F58" s="184"/>
      <x:c r="G58" s="184"/>
      <x:c r="H58" s="184"/>
      <x:c r="I58" s="184"/>
      <x:c r="J58" s="184"/>
      <x:c r="K58" s="204"/>
      <x:c r="L58" s="3"/>
    </x:row>
    <x:row r="59">
      <x:c r="A59" s="3"/>
      <x:c r="B59" s="203"/>
      <x:c r="C59" s="184"/>
      <x:c r="D59" s="184"/>
      <x:c r="E59" s="184"/>
      <x:c r="F59" s="184"/>
      <x:c r="G59" s="184"/>
      <x:c r="H59" s="184"/>
      <x:c r="I59" s="184"/>
      <x:c r="J59" s="184"/>
      <x:c r="K59" s="204"/>
      <x:c r="L59" s="3"/>
    </x:row>
    <x:row r="60">
      <x:c r="A60" s="3"/>
      <x:c r="B60" s="203"/>
      <x:c r="C60" s="184"/>
      <x:c r="D60" s="184"/>
      <x:c r="E60" s="184"/>
      <x:c r="F60" s="184"/>
      <x:c r="G60" s="184"/>
      <x:c r="H60" s="184"/>
      <x:c r="I60" s="184"/>
      <x:c r="J60" s="184"/>
      <x:c r="K60" s="204"/>
      <x:c r="L60" s="3"/>
    </x:row>
    <x:row r="61">
      <x:c r="A61" s="3"/>
      <x:c r="B61" s="203"/>
      <x:c r="C61" s="184"/>
      <x:c r="D61" s="184"/>
      <x:c r="E61" s="184"/>
      <x:c r="F61" s="184"/>
      <x:c r="G61" s="184"/>
      <x:c r="H61" s="184"/>
      <x:c r="I61" s="184"/>
      <x:c r="J61" s="184"/>
      <x:c r="K61" s="204"/>
      <x:c r="L61" s="3"/>
    </x:row>
    <x:row r="62">
      <x:c r="A62" s="3"/>
      <x:c r="B62" s="203"/>
      <x:c r="C62" s="184"/>
      <x:c r="D62" s="184"/>
      <x:c r="E62" s="184"/>
      <x:c r="F62" s="184"/>
      <x:c r="G62" s="184"/>
      <x:c r="H62" s="184"/>
      <x:c r="I62" s="184"/>
      <x:c r="J62" s="184"/>
      <x:c r="K62" s="204"/>
      <x:c r="L62" s="3"/>
    </x:row>
    <x:row r="63">
      <x:c r="A63" s="3"/>
      <x:c r="B63" s="203"/>
      <x:c r="C63" s="184"/>
      <x:c r="D63" s="184"/>
      <x:c r="E63" s="184"/>
      <x:c r="F63" s="184"/>
      <x:c r="G63" s="184"/>
      <x:c r="H63" s="184"/>
      <x:c r="I63" s="184"/>
      <x:c r="J63" s="184"/>
      <x:c r="K63" s="204"/>
      <x:c r="L63" s="3"/>
    </x:row>
    <x:row r="64">
      <x:c r="A64" s="3"/>
      <x:c r="B64" s="203"/>
      <x:c r="C64" s="184"/>
      <x:c r="D64" s="184"/>
      <x:c r="E64" s="184"/>
      <x:c r="F64" s="184"/>
      <x:c r="G64" s="184"/>
      <x:c r="H64" s="184"/>
      <x:c r="I64" s="184"/>
      <x:c r="J64" s="184"/>
      <x:c r="K64" s="204"/>
      <x:c r="L64" s="3"/>
    </x:row>
    <x:row r="65">
      <x:c r="A65" s="3"/>
      <x:c r="B65" s="203"/>
      <x:c r="C65" s="184"/>
      <x:c r="D65" s="184"/>
      <x:c r="E65" s="184"/>
      <x:c r="F65" s="184"/>
      <x:c r="G65" s="184"/>
      <x:c r="H65" s="184"/>
      <x:c r="I65" s="184"/>
      <x:c r="J65" s="184"/>
      <x:c r="K65" s="204"/>
      <x:c r="L65" s="3"/>
    </x:row>
    <x:row r="66">
      <x:c r="A66" s="3"/>
      <x:c r="B66" s="203"/>
      <x:c r="C66" s="184"/>
      <x:c r="D66" s="184"/>
      <x:c r="E66" s="184"/>
      <x:c r="F66" s="184"/>
      <x:c r="G66" s="184"/>
      <x:c r="H66" s="184"/>
      <x:c r="I66" s="184"/>
      <x:c r="J66" s="184"/>
      <x:c r="K66" s="204"/>
      <x:c r="L66" s="3"/>
    </x:row>
    <x:row r="67">
      <x:c r="A67" s="3"/>
      <x:c r="B67" s="203"/>
      <x:c r="C67" s="184"/>
      <x:c r="D67" s="184"/>
      <x:c r="E67" s="184"/>
      <x:c r="F67" s="184"/>
      <x:c r="G67" s="184"/>
      <x:c r="H67" s="184"/>
      <x:c r="I67" s="184"/>
      <x:c r="J67" s="184"/>
      <x:c r="K67" s="204"/>
      <x:c r="L67" s="3"/>
    </x:row>
    <x:row r="68">
      <x:c r="A68" s="3"/>
      <x:c r="B68" s="203"/>
      <x:c r="C68" s="184"/>
      <x:c r="D68" s="184"/>
      <x:c r="E68" s="184"/>
      <x:c r="F68" s="184"/>
      <x:c r="G68" s="184"/>
      <x:c r="H68" s="184"/>
      <x:c r="I68" s="184"/>
      <x:c r="J68" s="184"/>
      <x:c r="K68" s="204"/>
      <x:c r="L68" s="3"/>
    </x:row>
    <x:row r="69">
      <x:c r="A69" s="3"/>
      <x:c r="B69" s="203"/>
      <x:c r="C69" s="184"/>
      <x:c r="D69" s="184"/>
      <x:c r="E69" s="184"/>
      <x:c r="F69" s="184"/>
      <x:c r="G69" s="184"/>
      <x:c r="H69" s="184"/>
      <x:c r="I69" s="184"/>
      <x:c r="J69" s="184"/>
      <x:c r="K69" s="204"/>
      <x:c r="L69" s="3"/>
    </x:row>
    <x:row r="70">
      <x:c r="A70" s="3"/>
      <x:c r="B70" s="211"/>
      <x:c r="C70" s="212"/>
      <x:c r="D70" s="212"/>
      <x:c r="E70" s="212"/>
      <x:c r="F70" s="212"/>
      <x:c r="G70" s="212"/>
      <x:c r="H70" s="212"/>
      <x:c r="I70" s="212"/>
      <x:c r="J70" s="212"/>
      <x:c r="K70" s="21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mergeCells>
    <x:mergeCell ref="B2:K2"/>
    <x:mergeCell ref="B3:K3"/>
    <x:mergeCell ref="B4:K4"/>
    <x:mergeCell ref="B6:K6"/>
    <x:mergeCell ref="B7:C7"/>
    <x:mergeCell ref="B8:C9"/>
    <x:mergeCell ref="D7:E7"/>
    <x:mergeCell ref="D8:E9"/>
    <x:mergeCell ref="F7:G7"/>
    <x:mergeCell ref="F8:G9"/>
    <x:mergeCell ref="H7:I7"/>
    <x:mergeCell ref="H8:I9"/>
    <x:mergeCell ref="J7:K7"/>
    <x:mergeCell ref="J8:K9"/>
    <x:mergeCell ref="B12:E12"/>
    <x:mergeCell ref="G12:K12"/>
    <x:mergeCell ref="G13:K13"/>
    <x:mergeCell ref="G14:K14"/>
    <x:mergeCell ref="G15:K15"/>
    <x:mergeCell ref="G16:K16"/>
    <x:mergeCell ref="G17:K17"/>
    <x:mergeCell ref="G18:K18"/>
    <x:mergeCell ref="B21:K21"/>
    <x:mergeCell ref="C22:K22"/>
    <x:mergeCell ref="C23:K23"/>
    <x:mergeCell ref="C24:K24"/>
    <x:mergeCell ref="C25:K25"/>
  </x:mergeCells>
  <x:conditionalFormatting sqref="D14:D18">
    <x:cfRule type="dataBar" priority="1">
      <x:dataBar>
        <x:cfvo type="min"/>
        <x:cfvo type="max"/>
        <x:color rgb="FF2F755F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5F"/>
            </x14:dataBar>
          </x14:cfRule>
          <xm:sqref>D14:D18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18.889999389648438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8.889999389648438" hidden="0" customWidth="1"/>
    <x:col min="9" max="9" width="20" hidden="0" customWidth="1"/>
    <x:col min="10" max="10" width="24.440000534057617" hidden="0" customWidth="1"/>
    <x:col min="11" max="11" width="20" hidden="0" customWidth="1"/>
    <x:col min="12" max="12" width="1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169" t="str">
        <x:v>Paycheck Map</x:v>
      </x:c>
      <x:c r="C2" s="170" t="str"/>
      <x:c r="D2" s="170" t="str"/>
      <x:c r="E2" s="170" t="str"/>
      <x:c r="F2" s="170" t="str"/>
      <x:c r="G2" s="170" t="str"/>
      <x:c r="H2" s="170" t="str"/>
      <x:c r="I2" s="170" t="str"/>
      <x:c r="J2" s="170" t="str"/>
      <x:c r="K2" s="171" t="str"/>
      <x:c r="L2" s="3"/>
    </x:row>
    <x:row r="3">
      <x:c r="A3" s="3"/>
      <x:c r="B3" s="172" t="str">
        <x:v>Enter the monthly numbers that drive the dashboard.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173" t="str"/>
      <x:c r="L3" s="3"/>
    </x:row>
    <x:row r="4">
      <x:c r="A4" s="3"/>
      <x:c r="B4" s="174" t="str">
        <x:v>Purpose: separate committed money from actual flex cash.</x:v>
      </x:c>
      <x:c r="C4" s="175" t="str"/>
      <x:c r="D4" s="175" t="str"/>
      <x:c r="E4" s="175" t="str"/>
      <x:c r="F4" s="175" t="str"/>
      <x:c r="G4" s="175" t="str"/>
      <x:c r="H4" s="175" t="str"/>
      <x:c r="I4" s="175" t="str"/>
      <x:c r="J4" s="175" t="str"/>
      <x:c r="K4" s="176" t="str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198" t="str">
        <x:v>Monthly inputs</x:v>
      </x:c>
      <x:c r="C6" s="199" t="str">
        <x:v>Monthly inputs</x:v>
      </x:c>
      <x:c r="D6" s="199" t="str">
        <x:v>Monthly inputs</x:v>
      </x:c>
      <x:c r="E6" s="199" t="str">
        <x:v>Monthly inputs</x:v>
      </x:c>
      <x:c r="F6" s="199" t="str">
        <x:v>Calculated results</x:v>
      </x:c>
      <x:c r="G6" s="199" t="str">
        <x:v>Calculated results</x:v>
      </x:c>
      <x:c r="H6" s="199" t="str">
        <x:v>Calculated results</x:v>
      </x:c>
      <x:c r="I6" s="199" t="str">
        <x:v>Calculated results</x:v>
      </x:c>
      <x:c r="J6" s="199" t="str">
        <x:v>Calculated results</x:v>
      </x:c>
      <x:c r="K6" s="200" t="str">
        <x:v>Calculated results</x:v>
      </x:c>
      <x:c r="L6" s="3"/>
    </x:row>
    <x:row r="7">
      <x:c r="A7" s="3"/>
      <x:c r="B7" s="240" t="str">
        <x:v>Line Item</x:v>
      </x:c>
      <x:c r="C7" s="229" t="str">
        <x:v>Monthly Amount</x:v>
      </x:c>
      <x:c r="D7" s="229" t="str">
        <x:v>What this means</x:v>
      </x:c>
      <x:c r="E7" s="184"/>
      <x:c r="F7" s="243" t="str">
        <x:v>Result</x:v>
      </x:c>
      <x:c r="G7" s="243" t="str">
        <x:v>Amount</x:v>
      </x:c>
      <x:c r="H7" s="243" t="str">
        <x:v>Why it matters</x:v>
      </x:c>
      <x:c r="I7" s="184"/>
      <x:c r="J7" s="184"/>
      <x:c r="K7" s="204"/>
      <x:c r="L7" s="3"/>
    </x:row>
    <x:row r="8">
      <x:c r="A8" s="3"/>
      <x:c r="B8" s="241" t="str">
        <x:v>Monthly take-home pay</x:v>
      </x:c>
      <x:c r="C8" s="232" t="n">
        <x:v>4850</x:v>
      </x:c>
      <x:c r="D8" s="181" t="str">
        <x:v>What actually hits your bank account after payroll deductions.</x:v>
      </x:c>
      <x:c r="E8" s="184"/>
      <x:c r="F8" s="193" t="str">
        <x:v>Total committed money</x:v>
      </x:c>
      <x:c r="G8" s="244" t="n">
        <x:f>SUM(C9:C15)</x:f>
        <x:v>5278</x:v>
      </x:c>
      <x:c r="H8" s="193" t="str">
        <x:v>Bills, debt, subscriptions, savings, essentials, life money, and irregular expenses.</x:v>
      </x:c>
      <x:c r="I8" s="184"/>
      <x:c r="J8" s="184"/>
      <x:c r="K8" s="204"/>
      <x:c r="L8" s="3"/>
    </x:row>
    <x:row r="9">
      <x:c r="A9" s="3"/>
      <x:c r="B9" s="241" t="str">
        <x:v>Fixed bills</x:v>
      </x:c>
      <x:c r="C9" s="232" t="n">
        <x:v>2940</x:v>
      </x:c>
      <x:c r="D9" s="181" t="str">
        <x:v>Rent/mortgage, utilities, insurance, phone, internet, required payments.</x:v>
      </x:c>
      <x:c r="E9" s="184"/>
      <x:c r="F9" s="193" t="str">
        <x:v>Money leak / overspend risk</x:v>
      </x:c>
      <x:c r="G9" s="244" t="n">
        <x:f>MAX(0,G8-C8)</x:f>
        <x:v>428</x:v>
      </x:c>
      <x:c r="H9" s="193" t="str">
        <x:v>If above $0, the paycheck is overbooked.</x:v>
      </x:c>
      <x:c r="I9" s="184"/>
      <x:c r="J9" s="184"/>
      <x:c r="K9" s="204"/>
      <x:c r="L9" s="3"/>
    </x:row>
    <x:row r="10">
      <x:c r="A10" s="3"/>
      <x:c r="B10" s="241" t="str">
        <x:v>Debt minimums</x:v>
      </x:c>
      <x:c r="C10" s="232" t="n">
        <x:v>520</x:v>
      </x:c>
      <x:c r="D10" s="181" t="str">
        <x:v>Minimum payments only. Extra payoff is handled separately.</x:v>
      </x:c>
      <x:c r="E10" s="184"/>
      <x:c r="F10" s="193" t="str">
        <x:v>True flex cash</x:v>
      </x:c>
      <x:c r="G10" s="244" t="n">
        <x:f>MAX(0,C8-G8)</x:f>
        <x:v>0</x:v>
      </x:c>
      <x:c r="H10" s="193" t="str">
        <x:v>The real leftover after the paycheck has jobs.</x:v>
      </x:c>
      <x:c r="I10" s="184"/>
      <x:c r="J10" s="184"/>
      <x:c r="K10" s="204"/>
      <x:c r="L10" s="3"/>
    </x:row>
    <x:row r="11">
      <x:c r="A11" s="3"/>
      <x:c r="B11" s="241" t="str">
        <x:v>Subscriptions</x:v>
      </x:c>
      <x:c r="C11" s="232" t="n">
        <x:v>218</x:v>
      </x:c>
      <x:c r="D11" s="181" t="str">
        <x:v>Recurring charges that quietly drain cash flow.</x:v>
      </x:c>
      <x:c r="E11" s="184"/>
      <x:c r="F11" s="193" t="str">
        <x:v>Emergency fund gap</x:v>
      </x:c>
      <x:c r="G11" s="244" t="n">
        <x:f>MAX(0,C17-C16)</x:f>
        <x:v>300</x:v>
      </x:c>
      <x:c r="H11" s="193" t="str">
        <x:v>How far you are from the starter emergency target.</x:v>
      </x:c>
      <x:c r="I11" s="184"/>
      <x:c r="J11" s="184"/>
      <x:c r="K11" s="204"/>
      <x:c r="L11" s="3"/>
    </x:row>
    <x:row r="12">
      <x:c r="A12" s="3"/>
      <x:c r="B12" s="241" t="str">
        <x:v>Savings transfer target</x:v>
      </x:c>
      <x:c r="C12" s="232" t="n">
        <x:v>400</x:v>
      </x:c>
      <x:c r="D12" s="181" t="str">
        <x:v>Automatic emergency fund or short-term savings transfer.</x:v>
      </x:c>
      <x:c r="E12" s="184"/>
      <x:c r="F12" s="193" t="str">
        <x:v>Committed % of pay</x:v>
      </x:c>
      <x:c r="G12" s="245" t="n">
        <x:f>G8/C8</x:f>
        <x:v>1.0882474226804124</x:v>
      </x:c>
      <x:c r="H12" s="193" t="str">
        <x:v>How much of take-home pay is already spoken for.</x:v>
      </x:c>
      <x:c r="I12" s="184"/>
      <x:c r="J12" s="184"/>
      <x:c r="K12" s="204"/>
      <x:c r="L12" s="3"/>
    </x:row>
    <x:row r="13">
      <x:c r="A13" s="3"/>
      <x:c r="B13" s="241" t="str">
        <x:v>Groceries / gas / essentials</x:v>
      </x:c>
      <x:c r="C13" s="232" t="n">
        <x:v>650</x:v>
      </x:c>
      <x:c r="D13" s="181" t="str">
        <x:v>Normal living costs before fun spending.</x:v>
      </x:c>
      <x:c r="E13" s="184"/>
      <x:c r="F13" s="193" t="str">
        <x:v>Recommended first move</x:v>
      </x:c>
      <x:c r="G13" s="193" t="str">
        <x:f>IF(G9&gt;0,"Cut or reschedule $"&amp;TEXT(G9,"#,##0"),IF(G11&gt;0,"Move $"&amp;TEXT(MIN(G10,G11),"#,##0")&amp;" toward starter emergency fund","Protect this rhythm"))</x:f>
        <x:v>Cut or reschedule $428</x:v>
      </x:c>
      <x:c r="H13" s="193" t="str">
        <x:v>Your next concrete action.</x:v>
      </x:c>
      <x:c r="I13" s="184"/>
      <x:c r="J13" s="184"/>
      <x:c r="K13" s="204"/>
      <x:c r="L13" s="3"/>
    </x:row>
    <x:row r="14">
      <x:c r="A14" s="3"/>
      <x:c r="B14" s="241" t="str">
        <x:v>Planned life money</x:v>
      </x:c>
      <x:c r="C14" s="232" t="n">
        <x:v>300</x:v>
      </x:c>
      <x:c r="D14" s="181" t="str">
        <x:v>Restaurants, fun, clothes, small wants, and personal spending.</x:v>
      </x:c>
      <x:c r="E14" s="184"/>
      <x:c r="F14" s="184"/>
      <x:c r="G14" s="184"/>
      <x:c r="H14" s="184"/>
      <x:c r="I14" s="184"/>
      <x:c r="J14" s="184"/>
      <x:c r="K14" s="204"/>
      <x:c r="L14" s="3"/>
    </x:row>
    <x:row r="15">
      <x:c r="A15" s="3"/>
      <x:c r="B15" s="241" t="str">
        <x:v>Irregular expense buffer</x:v>
      </x:c>
      <x:c r="C15" s="232" t="n">
        <x:v>250</x:v>
      </x:c>
      <x:c r="D15" s="181" t="str">
        <x:v>Car repairs, gifts, annual fees, school costs, travel, etc.</x:v>
      </x:c>
      <x:c r="E15" s="184"/>
      <x:c r="F15" s="184"/>
      <x:c r="G15" s="184"/>
      <x:c r="H15" s="184"/>
      <x:c r="I15" s="184"/>
      <x:c r="J15" s="184"/>
      <x:c r="K15" s="204"/>
      <x:c r="L15" s="3"/>
    </x:row>
    <x:row r="16">
      <x:c r="A16" s="3"/>
      <x:c r="B16" s="241" t="str">
        <x:v>Current emergency savings</x:v>
      </x:c>
      <x:c r="C16" s="232" t="n">
        <x:v>700</x:v>
      </x:c>
      <x:c r="D16" s="181" t="str">
        <x:v>Current cash set aside for emergencies.</x:v>
      </x:c>
      <x:c r="E16" s="184"/>
      <x:c r="F16" s="184"/>
      <x:c r="G16" s="184"/>
      <x:c r="H16" s="184"/>
      <x:c r="I16" s="184"/>
      <x:c r="J16" s="184"/>
      <x:c r="K16" s="204"/>
      <x:c r="L16" s="3"/>
    </x:row>
    <x:row r="17">
      <x:c r="A17" s="3"/>
      <x:c r="B17" s="241" t="str">
        <x:v>Starter emergency target</x:v>
      </x:c>
      <x:c r="C17" s="232" t="n">
        <x:v>1000</x:v>
      </x:c>
      <x:c r="D17" s="181" t="str">
        <x:v>First milestone before getting aggressive elsewhere.</x:v>
      </x:c>
      <x:c r="E17" s="184"/>
      <x:c r="F17" s="184"/>
      <x:c r="G17" s="184"/>
      <x:c r="H17" s="184"/>
      <x:c r="I17" s="184"/>
      <x:c r="J17" s="184"/>
      <x:c r="K17" s="204"/>
      <x:c r="L17" s="3"/>
    </x:row>
    <x:row r="18">
      <x:c r="A18" s="3"/>
      <x:c r="B18" s="203"/>
      <x:c r="C18" s="184"/>
      <x:c r="D18" s="184"/>
      <x:c r="E18" s="184"/>
      <x:c r="F18" s="184"/>
      <x:c r="G18" s="184"/>
      <x:c r="H18" s="184"/>
      <x:c r="I18" s="184"/>
      <x:c r="J18" s="184"/>
      <x:c r="K18" s="204"/>
      <x:c r="L18" s="3"/>
    </x:row>
    <x:row r="19">
      <x:c r="A19" s="3"/>
      <x:c r="B19" s="205" t="str">
        <x:v>Next step</x:v>
      </x:c>
      <x:c r="C19" s="187" t="str">
        <x:v>Next step</x:v>
      </x:c>
      <x:c r="D19" s="187" t="str">
        <x:v>Next step</x:v>
      </x:c>
      <x:c r="E19" s="187" t="str">
        <x:v>Next step</x:v>
      </x:c>
      <x:c r="F19" s="187" t="str">
        <x:v>Next step</x:v>
      </x:c>
      <x:c r="G19" s="187" t="str">
        <x:v>Next step</x:v>
      </x:c>
      <x:c r="H19" s="187" t="str">
        <x:v>Next step</x:v>
      </x:c>
      <x:c r="I19" s="187" t="str">
        <x:v>Next step</x:v>
      </x:c>
      <x:c r="J19" s="187" t="str">
        <x:v>Next step</x:v>
      </x:c>
      <x:c r="K19" s="206" t="str">
        <x:v>Next step</x:v>
      </x:c>
      <x:c r="L19" s="3"/>
    </x:row>
    <x:row r="20">
      <x:c r="A20" s="3"/>
      <x:c r="B20" s="247" t="str">
        <x:v>After this tab, go to Bills &amp; Timing. The dashboard can show a leak, but the bill due dates often explain why it keeps happening.</x:v>
      </x:c>
      <x:c r="C20" s="190" t="str"/>
      <x:c r="D20" s="190" t="str"/>
      <x:c r="E20" s="190" t="str"/>
      <x:c r="F20" s="190" t="str"/>
      <x:c r="G20" s="190" t="str"/>
      <x:c r="H20" s="190" t="str"/>
      <x:c r="I20" s="190" t="str"/>
      <x:c r="J20" s="190" t="str"/>
      <x:c r="K20" s="208" t="str"/>
      <x:c r="L20" s="3"/>
    </x:row>
    <x:row r="21">
      <x:c r="A21" s="3"/>
      <x:c r="B21" s="247" t="str">
        <x:v>If any number is a guess, keep it for now. This workbook is meant to create visibility quickly, not punish you for imperfect data.</x:v>
      </x:c>
      <x:c r="C21" s="190" t="str"/>
      <x:c r="D21" s="190" t="str"/>
      <x:c r="E21" s="190" t="str"/>
      <x:c r="F21" s="190" t="str"/>
      <x:c r="G21" s="190" t="str"/>
      <x:c r="H21" s="190" t="str"/>
      <x:c r="I21" s="190" t="str"/>
      <x:c r="J21" s="190" t="str"/>
      <x:c r="K21" s="208" t="str"/>
      <x:c r="L21" s="3"/>
    </x:row>
    <x:row r="22">
      <x:c r="A22" s="3"/>
      <x:c r="B22" s="203"/>
      <x:c r="C22" s="184"/>
      <x:c r="D22" s="184"/>
      <x:c r="E22" s="184"/>
      <x:c r="F22" s="184"/>
      <x:c r="G22" s="184"/>
      <x:c r="H22" s="184"/>
      <x:c r="I22" s="184"/>
      <x:c r="J22" s="184"/>
      <x:c r="K22" s="204"/>
      <x:c r="L22" s="3"/>
    </x:row>
    <x:row r="23">
      <x:c r="A23" s="3"/>
      <x:c r="B23" s="203"/>
      <x:c r="C23" s="184"/>
      <x:c r="D23" s="184"/>
      <x:c r="E23" s="184"/>
      <x:c r="F23" s="184"/>
      <x:c r="G23" s="184"/>
      <x:c r="H23" s="184"/>
      <x:c r="I23" s="184"/>
      <x:c r="J23" s="184"/>
      <x:c r="K23" s="204"/>
      <x:c r="L23" s="3"/>
    </x:row>
    <x:row r="24">
      <x:c r="A24" s="3"/>
      <x:c r="B24" s="203"/>
      <x:c r="C24" s="184"/>
      <x:c r="D24" s="184"/>
      <x:c r="E24" s="184"/>
      <x:c r="F24" s="184"/>
      <x:c r="G24" s="184"/>
      <x:c r="H24" s="184"/>
      <x:c r="I24" s="184"/>
      <x:c r="J24" s="184"/>
      <x:c r="K24" s="204"/>
      <x:c r="L24" s="3"/>
    </x:row>
    <x:row r="25">
      <x:c r="A25" s="3"/>
      <x:c r="B25" s="203"/>
      <x:c r="C25" s="184"/>
      <x:c r="D25" s="184"/>
      <x:c r="E25" s="184"/>
      <x:c r="F25" s="184"/>
      <x:c r="G25" s="184"/>
      <x:c r="H25" s="184"/>
      <x:c r="I25" s="184"/>
      <x:c r="J25" s="184"/>
      <x:c r="K25" s="204"/>
      <x:c r="L25" s="3"/>
    </x:row>
    <x:row r="26">
      <x:c r="A26" s="3"/>
      <x:c r="B26" s="203"/>
      <x:c r="C26" s="184"/>
      <x:c r="D26" s="184"/>
      <x:c r="E26" s="184"/>
      <x:c r="F26" s="184"/>
      <x:c r="G26" s="184"/>
      <x:c r="H26" s="184"/>
      <x:c r="I26" s="184"/>
      <x:c r="J26" s="184"/>
      <x:c r="K26" s="204"/>
      <x:c r="L26" s="3"/>
    </x:row>
    <x:row r="27">
      <x:c r="A27" s="3"/>
      <x:c r="B27" s="203"/>
      <x:c r="C27" s="184"/>
      <x:c r="D27" s="184"/>
      <x:c r="E27" s="184"/>
      <x:c r="F27" s="184"/>
      <x:c r="G27" s="184"/>
      <x:c r="H27" s="184"/>
      <x:c r="I27" s="184"/>
      <x:c r="J27" s="184"/>
      <x:c r="K27" s="204"/>
      <x:c r="L27" s="3"/>
    </x:row>
    <x:row r="28">
      <x:c r="A28" s="3"/>
      <x:c r="B28" s="203"/>
      <x:c r="C28" s="184"/>
      <x:c r="D28" s="184"/>
      <x:c r="E28" s="184"/>
      <x:c r="F28" s="184"/>
      <x:c r="G28" s="184"/>
      <x:c r="H28" s="184"/>
      <x:c r="I28" s="184"/>
      <x:c r="J28" s="184"/>
      <x:c r="K28" s="204"/>
      <x:c r="L28" s="3"/>
    </x:row>
    <x:row r="29">
      <x:c r="A29" s="3"/>
      <x:c r="B29" s="203"/>
      <x:c r="C29" s="184"/>
      <x:c r="D29" s="184"/>
      <x:c r="E29" s="184"/>
      <x:c r="F29" s="184"/>
      <x:c r="G29" s="184"/>
      <x:c r="H29" s="184"/>
      <x:c r="I29" s="184"/>
      <x:c r="J29" s="184"/>
      <x:c r="K29" s="204"/>
      <x:c r="L29" s="3"/>
    </x:row>
    <x:row r="30">
      <x:c r="A30" s="3"/>
      <x:c r="B30" s="203"/>
      <x:c r="C30" s="184"/>
      <x:c r="D30" s="184"/>
      <x:c r="E30" s="184"/>
      <x:c r="F30" s="184"/>
      <x:c r="G30" s="184"/>
      <x:c r="H30" s="184"/>
      <x:c r="I30" s="184"/>
      <x:c r="J30" s="184"/>
      <x:c r="K30" s="204"/>
      <x:c r="L30" s="3"/>
    </x:row>
    <x:row r="31">
      <x:c r="A31" s="3"/>
      <x:c r="B31" s="203"/>
      <x:c r="C31" s="184"/>
      <x:c r="D31" s="184"/>
      <x:c r="E31" s="184"/>
      <x:c r="F31" s="184"/>
      <x:c r="G31" s="184"/>
      <x:c r="H31" s="184"/>
      <x:c r="I31" s="184"/>
      <x:c r="J31" s="184"/>
      <x:c r="K31" s="204"/>
      <x:c r="L31" s="3"/>
    </x:row>
    <x:row r="32">
      <x:c r="A32" s="3"/>
      <x:c r="B32" s="203"/>
      <x:c r="C32" s="184"/>
      <x:c r="D32" s="184"/>
      <x:c r="E32" s="184"/>
      <x:c r="F32" s="184"/>
      <x:c r="G32" s="184"/>
      <x:c r="H32" s="184"/>
      <x:c r="I32" s="184"/>
      <x:c r="J32" s="184"/>
      <x:c r="K32" s="204"/>
      <x:c r="L32" s="3"/>
    </x:row>
    <x:row r="33">
      <x:c r="A33" s="3"/>
      <x:c r="B33" s="203"/>
      <x:c r="C33" s="184"/>
      <x:c r="D33" s="184"/>
      <x:c r="E33" s="184"/>
      <x:c r="F33" s="184"/>
      <x:c r="G33" s="184"/>
      <x:c r="H33" s="184"/>
      <x:c r="I33" s="184"/>
      <x:c r="J33" s="184"/>
      <x:c r="K33" s="204"/>
      <x:c r="L33" s="3"/>
    </x:row>
    <x:row r="34">
      <x:c r="A34" s="3"/>
      <x:c r="B34" s="203"/>
      <x:c r="C34" s="184"/>
      <x:c r="D34" s="184"/>
      <x:c r="E34" s="184"/>
      <x:c r="F34" s="184"/>
      <x:c r="G34" s="184"/>
      <x:c r="H34" s="184"/>
      <x:c r="I34" s="184"/>
      <x:c r="J34" s="184"/>
      <x:c r="K34" s="204"/>
      <x:c r="L34" s="3"/>
    </x:row>
    <x:row r="35">
      <x:c r="A35" s="3"/>
      <x:c r="B35" s="203"/>
      <x:c r="C35" s="184"/>
      <x:c r="D35" s="184"/>
      <x:c r="E35" s="184"/>
      <x:c r="F35" s="184"/>
      <x:c r="G35" s="184"/>
      <x:c r="H35" s="184"/>
      <x:c r="I35" s="184"/>
      <x:c r="J35" s="184"/>
      <x:c r="K35" s="204"/>
      <x:c r="L35" s="3"/>
    </x:row>
    <x:row r="36">
      <x:c r="A36" s="3"/>
      <x:c r="B36" s="203"/>
      <x:c r="C36" s="184"/>
      <x:c r="D36" s="184"/>
      <x:c r="E36" s="184"/>
      <x:c r="F36" s="184"/>
      <x:c r="G36" s="184"/>
      <x:c r="H36" s="184"/>
      <x:c r="I36" s="184"/>
      <x:c r="J36" s="184"/>
      <x:c r="K36" s="204"/>
      <x:c r="L36" s="3"/>
    </x:row>
    <x:row r="37">
      <x:c r="A37" s="3"/>
      <x:c r="B37" s="203"/>
      <x:c r="C37" s="184"/>
      <x:c r="D37" s="184"/>
      <x:c r="E37" s="184"/>
      <x:c r="F37" s="184"/>
      <x:c r="G37" s="184"/>
      <x:c r="H37" s="184"/>
      <x:c r="I37" s="184"/>
      <x:c r="J37" s="184"/>
      <x:c r="K37" s="204"/>
      <x:c r="L37" s="3"/>
    </x:row>
    <x:row r="38">
      <x:c r="A38" s="3"/>
      <x:c r="B38" s="203"/>
      <x:c r="C38" s="184"/>
      <x:c r="D38" s="184"/>
      <x:c r="E38" s="184"/>
      <x:c r="F38" s="184"/>
      <x:c r="G38" s="184"/>
      <x:c r="H38" s="184"/>
      <x:c r="I38" s="184"/>
      <x:c r="J38" s="184"/>
      <x:c r="K38" s="204"/>
      <x:c r="L38" s="3"/>
    </x:row>
    <x:row r="39">
      <x:c r="A39" s="3"/>
      <x:c r="B39" s="203"/>
      <x:c r="C39" s="184"/>
      <x:c r="D39" s="184"/>
      <x:c r="E39" s="184"/>
      <x:c r="F39" s="184"/>
      <x:c r="G39" s="184"/>
      <x:c r="H39" s="184"/>
      <x:c r="I39" s="184"/>
      <x:c r="J39" s="184"/>
      <x:c r="K39" s="204"/>
      <x:c r="L39" s="3"/>
    </x:row>
    <x:row r="40">
      <x:c r="A40" s="3"/>
      <x:c r="B40" s="203"/>
      <x:c r="C40" s="184"/>
      <x:c r="D40" s="184"/>
      <x:c r="E40" s="184"/>
      <x:c r="F40" s="184"/>
      <x:c r="G40" s="184"/>
      <x:c r="H40" s="184"/>
      <x:c r="I40" s="184"/>
      <x:c r="J40" s="184"/>
      <x:c r="K40" s="204"/>
      <x:c r="L40" s="3"/>
    </x:row>
    <x:row r="41">
      <x:c r="A41" s="3"/>
      <x:c r="B41" s="203"/>
      <x:c r="C41" s="184"/>
      <x:c r="D41" s="184"/>
      <x:c r="E41" s="184"/>
      <x:c r="F41" s="184"/>
      <x:c r="G41" s="184"/>
      <x:c r="H41" s="184"/>
      <x:c r="I41" s="184"/>
      <x:c r="J41" s="184"/>
      <x:c r="K41" s="204"/>
      <x:c r="L41" s="3"/>
    </x:row>
    <x:row r="42">
      <x:c r="A42" s="3"/>
      <x:c r="B42" s="203"/>
      <x:c r="C42" s="184"/>
      <x:c r="D42" s="184"/>
      <x:c r="E42" s="184"/>
      <x:c r="F42" s="184"/>
      <x:c r="G42" s="184"/>
      <x:c r="H42" s="184"/>
      <x:c r="I42" s="184"/>
      <x:c r="J42" s="184"/>
      <x:c r="K42" s="204"/>
      <x:c r="L42" s="3"/>
    </x:row>
    <x:row r="43">
      <x:c r="A43" s="3"/>
      <x:c r="B43" s="203"/>
      <x:c r="C43" s="184"/>
      <x:c r="D43" s="184"/>
      <x:c r="E43" s="184"/>
      <x:c r="F43" s="184"/>
      <x:c r="G43" s="184"/>
      <x:c r="H43" s="184"/>
      <x:c r="I43" s="184"/>
      <x:c r="J43" s="184"/>
      <x:c r="K43" s="204"/>
      <x:c r="L43" s="3"/>
    </x:row>
    <x:row r="44">
      <x:c r="A44" s="3"/>
      <x:c r="B44" s="203"/>
      <x:c r="C44" s="184"/>
      <x:c r="D44" s="184"/>
      <x:c r="E44" s="184"/>
      <x:c r="F44" s="184"/>
      <x:c r="G44" s="184"/>
      <x:c r="H44" s="184"/>
      <x:c r="I44" s="184"/>
      <x:c r="J44" s="184"/>
      <x:c r="K44" s="204"/>
      <x:c r="L44" s="3"/>
    </x:row>
    <x:row r="45">
      <x:c r="A45" s="3"/>
      <x:c r="B45" s="203"/>
      <x:c r="C45" s="184"/>
      <x:c r="D45" s="184"/>
      <x:c r="E45" s="184"/>
      <x:c r="F45" s="184"/>
      <x:c r="G45" s="184"/>
      <x:c r="H45" s="184"/>
      <x:c r="I45" s="184"/>
      <x:c r="J45" s="184"/>
      <x:c r="K45" s="204"/>
      <x:c r="L45" s="3"/>
    </x:row>
    <x:row r="46">
      <x:c r="A46" s="3"/>
      <x:c r="B46" s="203"/>
      <x:c r="C46" s="184"/>
      <x:c r="D46" s="184"/>
      <x:c r="E46" s="184"/>
      <x:c r="F46" s="184"/>
      <x:c r="G46" s="184"/>
      <x:c r="H46" s="184"/>
      <x:c r="I46" s="184"/>
      <x:c r="J46" s="184"/>
      <x:c r="K46" s="204"/>
      <x:c r="L46" s="3"/>
    </x:row>
    <x:row r="47">
      <x:c r="A47" s="3"/>
      <x:c r="B47" s="203"/>
      <x:c r="C47" s="184"/>
      <x:c r="D47" s="184"/>
      <x:c r="E47" s="184"/>
      <x:c r="F47" s="184"/>
      <x:c r="G47" s="184"/>
      <x:c r="H47" s="184"/>
      <x:c r="I47" s="184"/>
      <x:c r="J47" s="184"/>
      <x:c r="K47" s="204"/>
      <x:c r="L47" s="3"/>
    </x:row>
    <x:row r="48">
      <x:c r="A48" s="3"/>
      <x:c r="B48" s="203"/>
      <x:c r="C48" s="184"/>
      <x:c r="D48" s="184"/>
      <x:c r="E48" s="184"/>
      <x:c r="F48" s="184"/>
      <x:c r="G48" s="184"/>
      <x:c r="H48" s="184"/>
      <x:c r="I48" s="184"/>
      <x:c r="J48" s="184"/>
      <x:c r="K48" s="204"/>
      <x:c r="L48" s="3"/>
    </x:row>
    <x:row r="49">
      <x:c r="A49" s="3"/>
      <x:c r="B49" s="203"/>
      <x:c r="C49" s="184"/>
      <x:c r="D49" s="184"/>
      <x:c r="E49" s="184"/>
      <x:c r="F49" s="184"/>
      <x:c r="G49" s="184"/>
      <x:c r="H49" s="184"/>
      <x:c r="I49" s="184"/>
      <x:c r="J49" s="184"/>
      <x:c r="K49" s="204"/>
      <x:c r="L49" s="3"/>
    </x:row>
    <x:row r="50">
      <x:c r="A50" s="3"/>
      <x:c r="B50" s="203"/>
      <x:c r="C50" s="184"/>
      <x:c r="D50" s="184"/>
      <x:c r="E50" s="184"/>
      <x:c r="F50" s="184"/>
      <x:c r="G50" s="184"/>
      <x:c r="H50" s="184"/>
      <x:c r="I50" s="184"/>
      <x:c r="J50" s="184"/>
      <x:c r="K50" s="204"/>
      <x:c r="L50" s="3"/>
    </x:row>
    <x:row r="51">
      <x:c r="A51" s="3"/>
      <x:c r="B51" s="203"/>
      <x:c r="C51" s="184"/>
      <x:c r="D51" s="184"/>
      <x:c r="E51" s="184"/>
      <x:c r="F51" s="184"/>
      <x:c r="G51" s="184"/>
      <x:c r="H51" s="184"/>
      <x:c r="I51" s="184"/>
      <x:c r="J51" s="184"/>
      <x:c r="K51" s="204"/>
      <x:c r="L51" s="3"/>
    </x:row>
    <x:row r="52">
      <x:c r="A52" s="3"/>
      <x:c r="B52" s="203"/>
      <x:c r="C52" s="184"/>
      <x:c r="D52" s="184"/>
      <x:c r="E52" s="184"/>
      <x:c r="F52" s="184"/>
      <x:c r="G52" s="184"/>
      <x:c r="H52" s="184"/>
      <x:c r="I52" s="184"/>
      <x:c r="J52" s="184"/>
      <x:c r="K52" s="204"/>
      <x:c r="L52" s="3"/>
    </x:row>
    <x:row r="53">
      <x:c r="A53" s="3"/>
      <x:c r="B53" s="203"/>
      <x:c r="C53" s="184"/>
      <x:c r="D53" s="184"/>
      <x:c r="E53" s="184"/>
      <x:c r="F53" s="184"/>
      <x:c r="G53" s="184"/>
      <x:c r="H53" s="184"/>
      <x:c r="I53" s="184"/>
      <x:c r="J53" s="184"/>
      <x:c r="K53" s="204"/>
      <x:c r="L53" s="3"/>
    </x:row>
    <x:row r="54">
      <x:c r="A54" s="3"/>
      <x:c r="B54" s="203"/>
      <x:c r="C54" s="184"/>
      <x:c r="D54" s="184"/>
      <x:c r="E54" s="184"/>
      <x:c r="F54" s="184"/>
      <x:c r="G54" s="184"/>
      <x:c r="H54" s="184"/>
      <x:c r="I54" s="184"/>
      <x:c r="J54" s="184"/>
      <x:c r="K54" s="204"/>
      <x:c r="L54" s="3"/>
    </x:row>
    <x:row r="55">
      <x:c r="A55" s="3"/>
      <x:c r="B55" s="203"/>
      <x:c r="C55" s="184"/>
      <x:c r="D55" s="184"/>
      <x:c r="E55" s="184"/>
      <x:c r="F55" s="184"/>
      <x:c r="G55" s="184"/>
      <x:c r="H55" s="184"/>
      <x:c r="I55" s="184"/>
      <x:c r="J55" s="184"/>
      <x:c r="K55" s="204"/>
      <x:c r="L55" s="3"/>
    </x:row>
    <x:row r="56">
      <x:c r="A56" s="3"/>
      <x:c r="B56" s="203"/>
      <x:c r="C56" s="184"/>
      <x:c r="D56" s="184"/>
      <x:c r="E56" s="184"/>
      <x:c r="F56" s="184"/>
      <x:c r="G56" s="184"/>
      <x:c r="H56" s="184"/>
      <x:c r="I56" s="184"/>
      <x:c r="J56" s="184"/>
      <x:c r="K56" s="204"/>
      <x:c r="L56" s="3"/>
    </x:row>
    <x:row r="57">
      <x:c r="A57" s="3"/>
      <x:c r="B57" s="203"/>
      <x:c r="C57" s="184"/>
      <x:c r="D57" s="184"/>
      <x:c r="E57" s="184"/>
      <x:c r="F57" s="184"/>
      <x:c r="G57" s="184"/>
      <x:c r="H57" s="184"/>
      <x:c r="I57" s="184"/>
      <x:c r="J57" s="184"/>
      <x:c r="K57" s="204"/>
      <x:c r="L57" s="3"/>
    </x:row>
    <x:row r="58">
      <x:c r="A58" s="3"/>
      <x:c r="B58" s="203"/>
      <x:c r="C58" s="184"/>
      <x:c r="D58" s="184"/>
      <x:c r="E58" s="184"/>
      <x:c r="F58" s="184"/>
      <x:c r="G58" s="184"/>
      <x:c r="H58" s="184"/>
      <x:c r="I58" s="184"/>
      <x:c r="J58" s="184"/>
      <x:c r="K58" s="204"/>
      <x:c r="L58" s="3"/>
    </x:row>
    <x:row r="59">
      <x:c r="A59" s="3"/>
      <x:c r="B59" s="203"/>
      <x:c r="C59" s="184"/>
      <x:c r="D59" s="184"/>
      <x:c r="E59" s="184"/>
      <x:c r="F59" s="184"/>
      <x:c r="G59" s="184"/>
      <x:c r="H59" s="184"/>
      <x:c r="I59" s="184"/>
      <x:c r="J59" s="184"/>
      <x:c r="K59" s="204"/>
      <x:c r="L59" s="3"/>
    </x:row>
    <x:row r="60">
      <x:c r="A60" s="3"/>
      <x:c r="B60" s="203"/>
      <x:c r="C60" s="184"/>
      <x:c r="D60" s="184"/>
      <x:c r="E60" s="184"/>
      <x:c r="F60" s="184"/>
      <x:c r="G60" s="184"/>
      <x:c r="H60" s="184"/>
      <x:c r="I60" s="184"/>
      <x:c r="J60" s="184"/>
      <x:c r="K60" s="204"/>
      <x:c r="L60" s="3"/>
    </x:row>
    <x:row r="61">
      <x:c r="A61" s="3"/>
      <x:c r="B61" s="203"/>
      <x:c r="C61" s="184"/>
      <x:c r="D61" s="184"/>
      <x:c r="E61" s="184"/>
      <x:c r="F61" s="184"/>
      <x:c r="G61" s="184"/>
      <x:c r="H61" s="184"/>
      <x:c r="I61" s="184"/>
      <x:c r="J61" s="184"/>
      <x:c r="K61" s="204"/>
      <x:c r="L61" s="3"/>
    </x:row>
    <x:row r="62">
      <x:c r="A62" s="3"/>
      <x:c r="B62" s="203"/>
      <x:c r="C62" s="184"/>
      <x:c r="D62" s="184"/>
      <x:c r="E62" s="184"/>
      <x:c r="F62" s="184"/>
      <x:c r="G62" s="184"/>
      <x:c r="H62" s="184"/>
      <x:c r="I62" s="184"/>
      <x:c r="J62" s="184"/>
      <x:c r="K62" s="204"/>
      <x:c r="L62" s="3"/>
    </x:row>
    <x:row r="63">
      <x:c r="A63" s="3"/>
      <x:c r="B63" s="203"/>
      <x:c r="C63" s="184"/>
      <x:c r="D63" s="184"/>
      <x:c r="E63" s="184"/>
      <x:c r="F63" s="184"/>
      <x:c r="G63" s="184"/>
      <x:c r="H63" s="184"/>
      <x:c r="I63" s="184"/>
      <x:c r="J63" s="184"/>
      <x:c r="K63" s="204"/>
      <x:c r="L63" s="3"/>
    </x:row>
    <x:row r="64">
      <x:c r="A64" s="3"/>
      <x:c r="B64" s="203"/>
      <x:c r="C64" s="184"/>
      <x:c r="D64" s="184"/>
      <x:c r="E64" s="184"/>
      <x:c r="F64" s="184"/>
      <x:c r="G64" s="184"/>
      <x:c r="H64" s="184"/>
      <x:c r="I64" s="184"/>
      <x:c r="J64" s="184"/>
      <x:c r="K64" s="204"/>
      <x:c r="L64" s="3"/>
    </x:row>
    <x:row r="65">
      <x:c r="A65" s="3"/>
      <x:c r="B65" s="203"/>
      <x:c r="C65" s="184"/>
      <x:c r="D65" s="184"/>
      <x:c r="E65" s="184"/>
      <x:c r="F65" s="184"/>
      <x:c r="G65" s="184"/>
      <x:c r="H65" s="184"/>
      <x:c r="I65" s="184"/>
      <x:c r="J65" s="184"/>
      <x:c r="K65" s="204"/>
      <x:c r="L65" s="3"/>
    </x:row>
    <x:row r="66">
      <x:c r="A66" s="3"/>
      <x:c r="B66" s="203"/>
      <x:c r="C66" s="184"/>
      <x:c r="D66" s="184"/>
      <x:c r="E66" s="184"/>
      <x:c r="F66" s="184"/>
      <x:c r="G66" s="184"/>
      <x:c r="H66" s="184"/>
      <x:c r="I66" s="184"/>
      <x:c r="J66" s="184"/>
      <x:c r="K66" s="204"/>
      <x:c r="L66" s="3"/>
    </x:row>
    <x:row r="67">
      <x:c r="A67" s="3"/>
      <x:c r="B67" s="203"/>
      <x:c r="C67" s="184"/>
      <x:c r="D67" s="184"/>
      <x:c r="E67" s="184"/>
      <x:c r="F67" s="184"/>
      <x:c r="G67" s="184"/>
      <x:c r="H67" s="184"/>
      <x:c r="I67" s="184"/>
      <x:c r="J67" s="184"/>
      <x:c r="K67" s="204"/>
      <x:c r="L67" s="3"/>
    </x:row>
    <x:row r="68">
      <x:c r="A68" s="3"/>
      <x:c r="B68" s="203"/>
      <x:c r="C68" s="184"/>
      <x:c r="D68" s="184"/>
      <x:c r="E68" s="184"/>
      <x:c r="F68" s="184"/>
      <x:c r="G68" s="184"/>
      <x:c r="H68" s="184"/>
      <x:c r="I68" s="184"/>
      <x:c r="J68" s="184"/>
      <x:c r="K68" s="204"/>
      <x:c r="L68" s="3"/>
    </x:row>
    <x:row r="69">
      <x:c r="A69" s="3"/>
      <x:c r="B69" s="203"/>
      <x:c r="C69" s="184"/>
      <x:c r="D69" s="184"/>
      <x:c r="E69" s="184"/>
      <x:c r="F69" s="184"/>
      <x:c r="G69" s="184"/>
      <x:c r="H69" s="184"/>
      <x:c r="I69" s="184"/>
      <x:c r="J69" s="184"/>
      <x:c r="K69" s="204"/>
      <x:c r="L69" s="3"/>
    </x:row>
    <x:row r="70">
      <x:c r="A70" s="3"/>
      <x:c r="B70" s="211"/>
      <x:c r="C70" s="212"/>
      <x:c r="D70" s="212"/>
      <x:c r="E70" s="212"/>
      <x:c r="F70" s="212"/>
      <x:c r="G70" s="212"/>
      <x:c r="H70" s="212"/>
      <x:c r="I70" s="212"/>
      <x:c r="J70" s="212"/>
      <x:c r="K70" s="21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mergeCells>
    <x:mergeCell ref="B2:K2"/>
    <x:mergeCell ref="B3:K3"/>
    <x:mergeCell ref="B4:K4"/>
    <x:mergeCell ref="B6:E6"/>
    <x:mergeCell ref="F6:K6"/>
    <x:mergeCell ref="B19:K19"/>
    <x:mergeCell ref="B20:K20"/>
    <x:mergeCell ref="B21:K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18.889999389648438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8.889999389648438" hidden="0" customWidth="1"/>
    <x:col min="9" max="9" width="20" hidden="0" customWidth="1"/>
    <x:col min="10" max="10" width="24.440000534057617" hidden="0" customWidth="1"/>
    <x:col min="11" max="11" width="20" hidden="0" customWidth="1"/>
    <x:col min="12" max="12" width="1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169" t="str">
        <x:v>Bills &amp; Timing</x:v>
      </x:c>
      <x:c r="C2" s="170" t="str"/>
      <x:c r="D2" s="170" t="str"/>
      <x:c r="E2" s="170" t="str"/>
      <x:c r="F2" s="170" t="str"/>
      <x:c r="G2" s="170" t="str"/>
      <x:c r="H2" s="170" t="str"/>
      <x:c r="I2" s="170" t="str"/>
      <x:c r="J2" s="170" t="str"/>
      <x:c r="K2" s="171" t="str"/>
      <x:c r="L2" s="3"/>
    </x:row>
    <x:row r="3">
      <x:c r="A3" s="3"/>
      <x:c r="B3" s="172" t="str">
        <x:v>List due dates so you can spot paycheck timing traps.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173" t="str"/>
      <x:c r="L3" s="3"/>
    </x:row>
    <x:row r="4">
      <x:c r="A4" s="3"/>
      <x:c r="B4" s="174" t="str">
        <x:v>Purpose: find the bills that create the before-payday squeeze.</x:v>
      </x:c>
      <x:c r="C4" s="175" t="str"/>
      <x:c r="D4" s="175" t="str"/>
      <x:c r="E4" s="175" t="str"/>
      <x:c r="F4" s="175" t="str"/>
      <x:c r="G4" s="175" t="str"/>
      <x:c r="H4" s="175" t="str"/>
      <x:c r="I4" s="175" t="str"/>
      <x:c r="J4" s="175" t="str"/>
      <x:c r="K4" s="176" t="str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198" t="str">
        <x:v>Bill calendar</x:v>
      </x:c>
      <x:c r="C6" s="199" t="str">
        <x:v>Bill calendar</x:v>
      </x:c>
      <x:c r="D6" s="199" t="str">
        <x:v>Bill calendar</x:v>
      </x:c>
      <x:c r="E6" s="199" t="str">
        <x:v>Bill calendar</x:v>
      </x:c>
      <x:c r="F6" s="199" t="str">
        <x:v>Bill calendar</x:v>
      </x:c>
      <x:c r="G6" s="199" t="str">
        <x:v>Bill calendar</x:v>
      </x:c>
      <x:c r="H6" s="199" t="str">
        <x:v>Bill calendar</x:v>
      </x:c>
      <x:c r="I6" s="199" t="str">
        <x:v>Bill calendar</x:v>
      </x:c>
      <x:c r="J6" s="199" t="str">
        <x:v>Bill calendar</x:v>
      </x:c>
      <x:c r="K6" s="249"/>
      <x:c r="L6" s="3"/>
    </x:row>
    <x:row r="7">
      <x:c r="A7" s="3"/>
      <x:c r="B7" s="240" t="str">
        <x:v>Due Day</x:v>
      </x:c>
      <x:c r="C7" s="229" t="str">
        <x:v>Bill</x:v>
      </x:c>
      <x:c r="D7" s="229" t="str">
        <x:v>Amount</x:v>
      </x:c>
      <x:c r="E7" s="229" t="str">
        <x:v>Category</x:v>
      </x:c>
      <x:c r="F7" s="229" t="str">
        <x:v>Autopay?</x:v>
      </x:c>
      <x:c r="G7" s="229" t="str">
        <x:v>Covered By</x:v>
      </x:c>
      <x:c r="H7" s="229" t="str">
        <x:v>Notes</x:v>
      </x:c>
      <x:c r="I7" s="184"/>
      <x:c r="J7" s="184"/>
      <x:c r="K7" s="204"/>
      <x:c r="L7" s="3"/>
    </x:row>
    <x:row r="8">
      <x:c r="A8" s="3"/>
      <x:c r="B8" s="241" t="n">
        <x:v>1</x:v>
      </x:c>
      <x:c r="C8" s="181" t="str">
        <x:v>Rent / mortgage</x:v>
      </x:c>
      <x:c r="D8" s="232" t="n">
        <x:v>1850</x:v>
      </x:c>
      <x:c r="E8" s="181" t="str">
        <x:v>Housing</x:v>
      </x:c>
      <x:c r="F8" s="181" t="str">
        <x:v>Yes</x:v>
      </x:c>
      <x:c r="G8" s="181" t="str">
        <x:v>Paycheck 1</x:v>
      </x:c>
      <x:c r="H8" s="181" t="str">
        <x:v>Largest fixed bill</x:v>
      </x:c>
      <x:c r="I8" s="184"/>
      <x:c r="J8" s="184"/>
      <x:c r="K8" s="204"/>
      <x:c r="L8" s="3"/>
    </x:row>
    <x:row r="9">
      <x:c r="A9" s="3"/>
      <x:c r="B9" s="241" t="n">
        <x:v>5</x:v>
      </x:c>
      <x:c r="C9" s="181" t="str">
        <x:v>Internet</x:v>
      </x:c>
      <x:c r="D9" s="232" t="n">
        <x:v>75</x:v>
      </x:c>
      <x:c r="E9" s="181" t="str">
        <x:v>Utilities</x:v>
      </x:c>
      <x:c r="F9" s="181" t="str">
        <x:v>Yes</x:v>
      </x:c>
      <x:c r="G9" s="181" t="str">
        <x:v>Paycheck 1</x:v>
      </x:c>
      <x:c r="H9" s="181" t="str"/>
      <x:c r="I9" s="184"/>
      <x:c r="J9" s="184"/>
      <x:c r="K9" s="204"/>
      <x:c r="L9" s="3"/>
    </x:row>
    <x:row r="10">
      <x:c r="A10" s="3"/>
      <x:c r="B10" s="241" t="n">
        <x:v>8</x:v>
      </x:c>
      <x:c r="C10" s="181" t="str">
        <x:v>Car payment</x:v>
      </x:c>
      <x:c r="D10" s="232" t="n">
        <x:v>420</x:v>
      </x:c>
      <x:c r="E10" s="181" t="str">
        <x:v>Transportation</x:v>
      </x:c>
      <x:c r="F10" s="181" t="str">
        <x:v>Yes</x:v>
      </x:c>
      <x:c r="G10" s="181" t="str">
        <x:v>Paycheck 1</x:v>
      </x:c>
      <x:c r="H10" s="181" t="str"/>
      <x:c r="I10" s="184"/>
      <x:c r="J10" s="184"/>
      <x:c r="K10" s="204"/>
      <x:c r="L10" s="3"/>
    </x:row>
    <x:row r="11">
      <x:c r="A11" s="3"/>
      <x:c r="B11" s="241" t="n">
        <x:v>12</x:v>
      </x:c>
      <x:c r="C11" s="181" t="str">
        <x:v>Phone</x:v>
      </x:c>
      <x:c r="D11" s="232" t="n">
        <x:v>95</x:v>
      </x:c>
      <x:c r="E11" s="181" t="str">
        <x:v>Utilities</x:v>
      </x:c>
      <x:c r="F11" s="181" t="str">
        <x:v>Yes</x:v>
      </x:c>
      <x:c r="G11" s="181" t="str">
        <x:v>Paycheck 1</x:v>
      </x:c>
      <x:c r="H11" s="181" t="str"/>
      <x:c r="I11" s="184"/>
      <x:c r="J11" s="184"/>
      <x:c r="K11" s="204"/>
      <x:c r="L11" s="3"/>
    </x:row>
    <x:row r="12">
      <x:c r="A12" s="3"/>
      <x:c r="B12" s="241" t="n">
        <x:v>15</x:v>
      </x:c>
      <x:c r="C12" s="181" t="str">
        <x:v>Utilities</x:v>
      </x:c>
      <x:c r="D12" s="232" t="n">
        <x:v>190</x:v>
      </x:c>
      <x:c r="E12" s="181" t="str">
        <x:v>Utilities</x:v>
      </x:c>
      <x:c r="F12" s="181" t="str">
        <x:v>No</x:v>
      </x:c>
      <x:c r="G12" s="181" t="str">
        <x:v>Paycheck 2</x:v>
      </x:c>
      <x:c r="H12" s="181" t="str">
        <x:v>Average monthly amount</x:v>
      </x:c>
      <x:c r="I12" s="184"/>
      <x:c r="J12" s="184"/>
      <x:c r="K12" s="204"/>
      <x:c r="L12" s="3"/>
    </x:row>
    <x:row r="13">
      <x:c r="A13" s="3"/>
      <x:c r="B13" s="241" t="n">
        <x:v>18</x:v>
      </x:c>
      <x:c r="C13" s="181" t="str">
        <x:v>Insurance</x:v>
      </x:c>
      <x:c r="D13" s="232" t="n">
        <x:v>160</x:v>
      </x:c>
      <x:c r="E13" s="181" t="str">
        <x:v>Insurance</x:v>
      </x:c>
      <x:c r="F13" s="181" t="str">
        <x:v>Yes</x:v>
      </x:c>
      <x:c r="G13" s="181" t="str">
        <x:v>Paycheck 2</x:v>
      </x:c>
      <x:c r="H13" s="181" t="str"/>
      <x:c r="I13" s="184"/>
      <x:c r="J13" s="184"/>
      <x:c r="K13" s="204"/>
      <x:c r="L13" s="3"/>
    </x:row>
    <x:row r="14">
      <x:c r="A14" s="3"/>
      <x:c r="B14" s="241" t="n">
        <x:v>22</x:v>
      </x:c>
      <x:c r="C14" s="181" t="str">
        <x:v>Credit card minimum</x:v>
      </x:c>
      <x:c r="D14" s="232" t="n">
        <x:v>210</x:v>
      </x:c>
      <x:c r="E14" s="181" t="str">
        <x:v>Debt</x:v>
      </x:c>
      <x:c r="F14" s="181" t="str">
        <x:v>Yes</x:v>
      </x:c>
      <x:c r="G14" s="181" t="str">
        <x:v>Paycheck 2</x:v>
      </x:c>
      <x:c r="H14" s="181" t="str"/>
      <x:c r="I14" s="184"/>
      <x:c r="J14" s="184"/>
      <x:c r="K14" s="204"/>
      <x:c r="L14" s="3"/>
    </x:row>
    <x:row r="15">
      <x:c r="A15" s="3"/>
      <x:c r="B15" s="241" t="n">
        <x:v>25</x:v>
      </x:c>
      <x:c r="C15" s="181" t="str">
        <x:v>Student loan</x:v>
      </x:c>
      <x:c r="D15" s="232" t="n">
        <x:v>310</x:v>
      </x:c>
      <x:c r="E15" s="181" t="str">
        <x:v>Debt</x:v>
      </x:c>
      <x:c r="F15" s="181" t="str">
        <x:v>Yes</x:v>
      </x:c>
      <x:c r="G15" s="181" t="str">
        <x:v>Paycheck 2</x:v>
      </x:c>
      <x:c r="H15" s="181" t="str"/>
      <x:c r="I15" s="184"/>
      <x:c r="J15" s="184"/>
      <x:c r="K15" s="204"/>
      <x:c r="L15" s="3"/>
    </x:row>
    <x:row r="16">
      <x:c r="A16" s="3"/>
      <x:c r="B16" s="241" t="str"/>
      <x:c r="C16" s="181" t="str"/>
      <x:c r="D16" s="232" t="str"/>
      <x:c r="E16" s="181" t="str"/>
      <x:c r="F16" s="181" t="str"/>
      <x:c r="G16" s="181" t="str"/>
      <x:c r="H16" s="181" t="str"/>
      <x:c r="I16" s="184"/>
      <x:c r="J16" s="184"/>
      <x:c r="K16" s="204"/>
      <x:c r="L16" s="3"/>
    </x:row>
    <x:row r="17">
      <x:c r="A17" s="3"/>
      <x:c r="B17" s="241" t="str"/>
      <x:c r="C17" s="181" t="str"/>
      <x:c r="D17" s="232" t="str"/>
      <x:c r="E17" s="181" t="str"/>
      <x:c r="F17" s="181" t="str"/>
      <x:c r="G17" s="181" t="str"/>
      <x:c r="H17" s="181" t="str"/>
      <x:c r="I17" s="184"/>
      <x:c r="J17" s="184"/>
      <x:c r="K17" s="204"/>
      <x:c r="L17" s="3"/>
    </x:row>
    <x:row r="18">
      <x:c r="A18" s="3"/>
      <x:c r="B18" s="241" t="str"/>
      <x:c r="C18" s="181" t="str"/>
      <x:c r="D18" s="232" t="str"/>
      <x:c r="E18" s="181" t="str"/>
      <x:c r="F18" s="181" t="str"/>
      <x:c r="G18" s="181" t="str"/>
      <x:c r="H18" s="181" t="str"/>
      <x:c r="I18" s="184"/>
      <x:c r="J18" s="184"/>
      <x:c r="K18" s="204"/>
      <x:c r="L18" s="3"/>
    </x:row>
    <x:row r="19">
      <x:c r="A19" s="3"/>
      <x:c r="B19" s="241" t="str"/>
      <x:c r="C19" s="181" t="str"/>
      <x:c r="D19" s="232" t="str"/>
      <x:c r="E19" s="181" t="str"/>
      <x:c r="F19" s="181" t="str"/>
      <x:c r="G19" s="181" t="str"/>
      <x:c r="H19" s="181" t="str"/>
      <x:c r="I19" s="184"/>
      <x:c r="J19" s="184"/>
      <x:c r="K19" s="204"/>
      <x:c r="L19" s="3"/>
    </x:row>
    <x:row r="20">
      <x:c r="A20" s="3"/>
      <x:c r="B20" s="241" t="str"/>
      <x:c r="C20" s="181" t="str"/>
      <x:c r="D20" s="232" t="str"/>
      <x:c r="E20" s="181" t="str"/>
      <x:c r="F20" s="181" t="str"/>
      <x:c r="G20" s="181" t="str"/>
      <x:c r="H20" s="181" t="str"/>
      <x:c r="I20" s="184"/>
      <x:c r="J20" s="184"/>
      <x:c r="K20" s="204"/>
      <x:c r="L20" s="3"/>
    </x:row>
    <x:row r="21">
      <x:c r="A21" s="3"/>
      <x:c r="B21" s="241" t="str"/>
      <x:c r="C21" s="181" t="str"/>
      <x:c r="D21" s="232" t="str"/>
      <x:c r="E21" s="181" t="str"/>
      <x:c r="F21" s="181" t="str"/>
      <x:c r="G21" s="181" t="str"/>
      <x:c r="H21" s="181" t="str"/>
      <x:c r="I21" s="184"/>
      <x:c r="J21" s="184"/>
      <x:c r="K21" s="204"/>
      <x:c r="L21" s="3"/>
    </x:row>
    <x:row r="22">
      <x:c r="A22" s="3"/>
      <x:c r="B22" s="241" t="str"/>
      <x:c r="C22" s="181" t="str"/>
      <x:c r="D22" s="232" t="str"/>
      <x:c r="E22" s="181" t="str"/>
      <x:c r="F22" s="181" t="str"/>
      <x:c r="G22" s="181" t="str"/>
      <x:c r="H22" s="181" t="str"/>
      <x:c r="I22" s="184"/>
      <x:c r="J22" s="184"/>
      <x:c r="K22" s="204"/>
      <x:c r="L22" s="3"/>
    </x:row>
    <x:row r="23">
      <x:c r="A23" s="3"/>
      <x:c r="B23" s="241" t="str"/>
      <x:c r="C23" s="181" t="str"/>
      <x:c r="D23" s="232" t="str"/>
      <x:c r="E23" s="181" t="str"/>
      <x:c r="F23" s="181" t="str"/>
      <x:c r="G23" s="181" t="str"/>
      <x:c r="H23" s="181" t="str"/>
      <x:c r="I23" s="184"/>
      <x:c r="J23" s="184"/>
      <x:c r="K23" s="204"/>
      <x:c r="L23" s="3"/>
    </x:row>
    <x:row r="24">
      <x:c r="A24" s="3"/>
      <x:c r="B24" s="241" t="str"/>
      <x:c r="C24" s="181" t="str"/>
      <x:c r="D24" s="232" t="str"/>
      <x:c r="E24" s="181" t="str"/>
      <x:c r="F24" s="181" t="str"/>
      <x:c r="G24" s="181" t="str"/>
      <x:c r="H24" s="181" t="str"/>
      <x:c r="I24" s="184"/>
      <x:c r="J24" s="184"/>
      <x:c r="K24" s="204"/>
      <x:c r="L24" s="3"/>
    </x:row>
    <x:row r="25">
      <x:c r="A25" s="3"/>
      <x:c r="B25" s="241" t="str"/>
      <x:c r="C25" s="181" t="str"/>
      <x:c r="D25" s="232" t="str"/>
      <x:c r="E25" s="181" t="str"/>
      <x:c r="F25" s="181" t="str"/>
      <x:c r="G25" s="181" t="str"/>
      <x:c r="H25" s="181" t="str"/>
      <x:c r="I25" s="184"/>
      <x:c r="J25" s="184"/>
      <x:c r="K25" s="204"/>
      <x:c r="L25" s="3"/>
    </x:row>
    <x:row r="26">
      <x:c r="A26" s="3"/>
      <x:c r="B26" s="203"/>
      <x:c r="C26" s="184"/>
      <x:c r="D26" s="184"/>
      <x:c r="E26" s="184"/>
      <x:c r="F26" s="184"/>
      <x:c r="G26" s="184"/>
      <x:c r="H26" s="184"/>
      <x:c r="I26" s="184"/>
      <x:c r="J26" s="184"/>
      <x:c r="K26" s="204"/>
      <x:c r="L26" s="3"/>
    </x:row>
    <x:row r="27">
      <x:c r="A27" s="3"/>
      <x:c r="B27" s="203"/>
      <x:c r="C27" s="184"/>
      <x:c r="D27" s="184"/>
      <x:c r="E27" s="184"/>
      <x:c r="F27" s="184"/>
      <x:c r="G27" s="184"/>
      <x:c r="H27" s="184"/>
      <x:c r="I27" s="184"/>
      <x:c r="J27" s="184"/>
      <x:c r="K27" s="204"/>
      <x:c r="L27" s="3"/>
    </x:row>
    <x:row r="28">
      <x:c r="A28" s="3"/>
      <x:c r="B28" s="205" t="str">
        <x:v>What to look for</x:v>
      </x:c>
      <x:c r="C28" s="187" t="str">
        <x:v>What to look for</x:v>
      </x:c>
      <x:c r="D28" s="187" t="str">
        <x:v>What to look for</x:v>
      </x:c>
      <x:c r="E28" s="187" t="str">
        <x:v>What to look for</x:v>
      </x:c>
      <x:c r="F28" s="187" t="str">
        <x:v>What to look for</x:v>
      </x:c>
      <x:c r="G28" s="187" t="str">
        <x:v>What to look for</x:v>
      </x:c>
      <x:c r="H28" s="187" t="str">
        <x:v>What to look for</x:v>
      </x:c>
      <x:c r="I28" s="187" t="str">
        <x:v>What to look for</x:v>
      </x:c>
      <x:c r="J28" s="187" t="str">
        <x:v>What to look for</x:v>
      </x:c>
      <x:c r="K28" s="204"/>
      <x:c r="L28" s="3"/>
    </x:row>
    <x:row r="29">
      <x:c r="A29" s="3"/>
      <x:c r="B29" s="209" t="str">
        <x:v>If most large bills hit before Paycheck 1 clears, timing may be the real problem.</x:v>
      </x:c>
      <x:c r="C29" s="193" t="str"/>
      <x:c r="D29" s="193" t="str"/>
      <x:c r="E29" s="193" t="str"/>
      <x:c r="F29" s="193" t="str"/>
      <x:c r="G29" s="193" t="str"/>
      <x:c r="H29" s="193" t="str"/>
      <x:c r="I29" s="193" t="str"/>
      <x:c r="J29" s="193" t="str"/>
      <x:c r="K29" s="204"/>
      <x:c r="L29" s="3"/>
    </x:row>
    <x:row r="30">
      <x:c r="A30" s="3"/>
      <x:c r="B30" s="209" t="str">
        <x:v>If possible, move one or two due dates so each paycheck carries a fair share.</x:v>
      </x:c>
      <x:c r="C30" s="193" t="str"/>
      <x:c r="D30" s="193" t="str"/>
      <x:c r="E30" s="193" t="str"/>
      <x:c r="F30" s="193" t="str"/>
      <x:c r="G30" s="193" t="str"/>
      <x:c r="H30" s="193" t="str"/>
      <x:c r="I30" s="193" t="str"/>
      <x:c r="J30" s="193" t="str"/>
      <x:c r="K30" s="204"/>
      <x:c r="L30" s="3"/>
    </x:row>
    <x:row r="31">
      <x:c r="A31" s="3"/>
      <x:c r="B31" s="209" t="str">
        <x:v>If a bill is on autopay, make sure the paycheck that covers it lands before the withdrawal.</x:v>
      </x:c>
      <x:c r="C31" s="193" t="str"/>
      <x:c r="D31" s="193" t="str"/>
      <x:c r="E31" s="193" t="str"/>
      <x:c r="F31" s="193" t="str"/>
      <x:c r="G31" s="193" t="str"/>
      <x:c r="H31" s="193" t="str"/>
      <x:c r="I31" s="193" t="str"/>
      <x:c r="J31" s="193" t="str"/>
      <x:c r="K31" s="204"/>
      <x:c r="L31" s="3"/>
    </x:row>
    <x:row r="32">
      <x:c r="A32" s="3"/>
      <x:c r="B32" s="209" t="str">
        <x:v>Next tab: Debt &amp; Subscriptions. That is where the quiet monthly leaks usually show up.</x:v>
      </x:c>
      <x:c r="C32" s="193" t="str"/>
      <x:c r="D32" s="193" t="str"/>
      <x:c r="E32" s="193" t="str"/>
      <x:c r="F32" s="193" t="str"/>
      <x:c r="G32" s="193" t="str"/>
      <x:c r="H32" s="193" t="str"/>
      <x:c r="I32" s="193" t="str"/>
      <x:c r="J32" s="193" t="str"/>
      <x:c r="K32" s="204"/>
      <x:c r="L32" s="3"/>
    </x:row>
    <x:row r="33">
      <x:c r="A33" s="3"/>
      <x:c r="B33" s="203"/>
      <x:c r="C33" s="184"/>
      <x:c r="D33" s="184"/>
      <x:c r="E33" s="184"/>
      <x:c r="F33" s="184"/>
      <x:c r="G33" s="184"/>
      <x:c r="H33" s="184"/>
      <x:c r="I33" s="184"/>
      <x:c r="J33" s="184"/>
      <x:c r="K33" s="204"/>
      <x:c r="L33" s="3"/>
    </x:row>
    <x:row r="34">
      <x:c r="A34" s="3"/>
      <x:c r="B34" s="203"/>
      <x:c r="C34" s="184"/>
      <x:c r="D34" s="184"/>
      <x:c r="E34" s="184"/>
      <x:c r="F34" s="184"/>
      <x:c r="G34" s="184"/>
      <x:c r="H34" s="184"/>
      <x:c r="I34" s="184"/>
      <x:c r="J34" s="184"/>
      <x:c r="K34" s="204"/>
      <x:c r="L34" s="3"/>
    </x:row>
    <x:row r="35">
      <x:c r="A35" s="3"/>
      <x:c r="B35" s="203"/>
      <x:c r="C35" s="184"/>
      <x:c r="D35" s="184"/>
      <x:c r="E35" s="184"/>
      <x:c r="F35" s="184"/>
      <x:c r="G35" s="184"/>
      <x:c r="H35" s="184"/>
      <x:c r="I35" s="184"/>
      <x:c r="J35" s="184"/>
      <x:c r="K35" s="204"/>
      <x:c r="L35" s="3"/>
    </x:row>
    <x:row r="36">
      <x:c r="A36" s="3"/>
      <x:c r="B36" s="203"/>
      <x:c r="C36" s="184"/>
      <x:c r="D36" s="184"/>
      <x:c r="E36" s="184"/>
      <x:c r="F36" s="184"/>
      <x:c r="G36" s="184"/>
      <x:c r="H36" s="184"/>
      <x:c r="I36" s="184"/>
      <x:c r="J36" s="184"/>
      <x:c r="K36" s="204"/>
      <x:c r="L36" s="3"/>
    </x:row>
    <x:row r="37">
      <x:c r="A37" s="3"/>
      <x:c r="B37" s="203"/>
      <x:c r="C37" s="184"/>
      <x:c r="D37" s="184"/>
      <x:c r="E37" s="184"/>
      <x:c r="F37" s="184"/>
      <x:c r="G37" s="184"/>
      <x:c r="H37" s="184"/>
      <x:c r="I37" s="184"/>
      <x:c r="J37" s="184"/>
      <x:c r="K37" s="204"/>
      <x:c r="L37" s="3"/>
    </x:row>
    <x:row r="38">
      <x:c r="A38" s="3"/>
      <x:c r="B38" s="203"/>
      <x:c r="C38" s="184"/>
      <x:c r="D38" s="184"/>
      <x:c r="E38" s="184"/>
      <x:c r="F38" s="184"/>
      <x:c r="G38" s="184"/>
      <x:c r="H38" s="184"/>
      <x:c r="I38" s="184"/>
      <x:c r="J38" s="184"/>
      <x:c r="K38" s="204"/>
      <x:c r="L38" s="3"/>
    </x:row>
    <x:row r="39">
      <x:c r="A39" s="3"/>
      <x:c r="B39" s="203"/>
      <x:c r="C39" s="184"/>
      <x:c r="D39" s="184"/>
      <x:c r="E39" s="184"/>
      <x:c r="F39" s="184"/>
      <x:c r="G39" s="184"/>
      <x:c r="H39" s="184"/>
      <x:c r="I39" s="184"/>
      <x:c r="J39" s="184"/>
      <x:c r="K39" s="204"/>
      <x:c r="L39" s="3"/>
    </x:row>
    <x:row r="40">
      <x:c r="A40" s="3"/>
      <x:c r="B40" s="203"/>
      <x:c r="C40" s="184"/>
      <x:c r="D40" s="184"/>
      <x:c r="E40" s="184"/>
      <x:c r="F40" s="184"/>
      <x:c r="G40" s="184"/>
      <x:c r="H40" s="184"/>
      <x:c r="I40" s="184"/>
      <x:c r="J40" s="184"/>
      <x:c r="K40" s="204"/>
      <x:c r="L40" s="3"/>
    </x:row>
    <x:row r="41">
      <x:c r="A41" s="3"/>
      <x:c r="B41" s="203"/>
      <x:c r="C41" s="184"/>
      <x:c r="D41" s="184"/>
      <x:c r="E41" s="184"/>
      <x:c r="F41" s="184"/>
      <x:c r="G41" s="184"/>
      <x:c r="H41" s="184"/>
      <x:c r="I41" s="184"/>
      <x:c r="J41" s="184"/>
      <x:c r="K41" s="204"/>
      <x:c r="L41" s="3"/>
    </x:row>
    <x:row r="42">
      <x:c r="A42" s="3"/>
      <x:c r="B42" s="203"/>
      <x:c r="C42" s="184"/>
      <x:c r="D42" s="184"/>
      <x:c r="E42" s="184"/>
      <x:c r="F42" s="184"/>
      <x:c r="G42" s="184"/>
      <x:c r="H42" s="184"/>
      <x:c r="I42" s="184"/>
      <x:c r="J42" s="184"/>
      <x:c r="K42" s="204"/>
      <x:c r="L42" s="3"/>
    </x:row>
    <x:row r="43">
      <x:c r="A43" s="3"/>
      <x:c r="B43" s="203"/>
      <x:c r="C43" s="184"/>
      <x:c r="D43" s="184"/>
      <x:c r="E43" s="184"/>
      <x:c r="F43" s="184"/>
      <x:c r="G43" s="184"/>
      <x:c r="H43" s="184"/>
      <x:c r="I43" s="184"/>
      <x:c r="J43" s="184"/>
      <x:c r="K43" s="204"/>
      <x:c r="L43" s="3"/>
    </x:row>
    <x:row r="44">
      <x:c r="A44" s="3"/>
      <x:c r="B44" s="203"/>
      <x:c r="C44" s="184"/>
      <x:c r="D44" s="184"/>
      <x:c r="E44" s="184"/>
      <x:c r="F44" s="184"/>
      <x:c r="G44" s="184"/>
      <x:c r="H44" s="184"/>
      <x:c r="I44" s="184"/>
      <x:c r="J44" s="184"/>
      <x:c r="K44" s="204"/>
      <x:c r="L44" s="3"/>
    </x:row>
    <x:row r="45">
      <x:c r="A45" s="3"/>
      <x:c r="B45" s="203"/>
      <x:c r="C45" s="184"/>
      <x:c r="D45" s="184"/>
      <x:c r="E45" s="184"/>
      <x:c r="F45" s="184"/>
      <x:c r="G45" s="184"/>
      <x:c r="H45" s="184"/>
      <x:c r="I45" s="184"/>
      <x:c r="J45" s="184"/>
      <x:c r="K45" s="204"/>
      <x:c r="L45" s="3"/>
    </x:row>
    <x:row r="46">
      <x:c r="A46" s="3"/>
      <x:c r="B46" s="203"/>
      <x:c r="C46" s="184"/>
      <x:c r="D46" s="184"/>
      <x:c r="E46" s="184"/>
      <x:c r="F46" s="184"/>
      <x:c r="G46" s="184"/>
      <x:c r="H46" s="184"/>
      <x:c r="I46" s="184"/>
      <x:c r="J46" s="184"/>
      <x:c r="K46" s="204"/>
      <x:c r="L46" s="3"/>
    </x:row>
    <x:row r="47">
      <x:c r="A47" s="3"/>
      <x:c r="B47" s="203"/>
      <x:c r="C47" s="184"/>
      <x:c r="D47" s="184"/>
      <x:c r="E47" s="184"/>
      <x:c r="F47" s="184"/>
      <x:c r="G47" s="184"/>
      <x:c r="H47" s="184"/>
      <x:c r="I47" s="184"/>
      <x:c r="J47" s="184"/>
      <x:c r="K47" s="204"/>
      <x:c r="L47" s="3"/>
    </x:row>
    <x:row r="48">
      <x:c r="A48" s="3"/>
      <x:c r="B48" s="203"/>
      <x:c r="C48" s="184"/>
      <x:c r="D48" s="184"/>
      <x:c r="E48" s="184"/>
      <x:c r="F48" s="184"/>
      <x:c r="G48" s="184"/>
      <x:c r="H48" s="184"/>
      <x:c r="I48" s="184"/>
      <x:c r="J48" s="184"/>
      <x:c r="K48" s="204"/>
      <x:c r="L48" s="3"/>
    </x:row>
    <x:row r="49">
      <x:c r="A49" s="3"/>
      <x:c r="B49" s="203"/>
      <x:c r="C49" s="184"/>
      <x:c r="D49" s="184"/>
      <x:c r="E49" s="184"/>
      <x:c r="F49" s="184"/>
      <x:c r="G49" s="184"/>
      <x:c r="H49" s="184"/>
      <x:c r="I49" s="184"/>
      <x:c r="J49" s="184"/>
      <x:c r="K49" s="204"/>
      <x:c r="L49" s="3"/>
    </x:row>
    <x:row r="50">
      <x:c r="A50" s="3"/>
      <x:c r="B50" s="203"/>
      <x:c r="C50" s="184"/>
      <x:c r="D50" s="184"/>
      <x:c r="E50" s="184"/>
      <x:c r="F50" s="184"/>
      <x:c r="G50" s="184"/>
      <x:c r="H50" s="184"/>
      <x:c r="I50" s="184"/>
      <x:c r="J50" s="184"/>
      <x:c r="K50" s="204"/>
      <x:c r="L50" s="3"/>
    </x:row>
    <x:row r="51">
      <x:c r="A51" s="3"/>
      <x:c r="B51" s="203"/>
      <x:c r="C51" s="184"/>
      <x:c r="D51" s="184"/>
      <x:c r="E51" s="184"/>
      <x:c r="F51" s="184"/>
      <x:c r="G51" s="184"/>
      <x:c r="H51" s="184"/>
      <x:c r="I51" s="184"/>
      <x:c r="J51" s="184"/>
      <x:c r="K51" s="204"/>
      <x:c r="L51" s="3"/>
    </x:row>
    <x:row r="52">
      <x:c r="A52" s="3"/>
      <x:c r="B52" s="203"/>
      <x:c r="C52" s="184"/>
      <x:c r="D52" s="184"/>
      <x:c r="E52" s="184"/>
      <x:c r="F52" s="184"/>
      <x:c r="G52" s="184"/>
      <x:c r="H52" s="184"/>
      <x:c r="I52" s="184"/>
      <x:c r="J52" s="184"/>
      <x:c r="K52" s="204"/>
      <x:c r="L52" s="3"/>
    </x:row>
    <x:row r="53">
      <x:c r="A53" s="3"/>
      <x:c r="B53" s="203"/>
      <x:c r="C53" s="184"/>
      <x:c r="D53" s="184"/>
      <x:c r="E53" s="184"/>
      <x:c r="F53" s="184"/>
      <x:c r="G53" s="184"/>
      <x:c r="H53" s="184"/>
      <x:c r="I53" s="184"/>
      <x:c r="J53" s="184"/>
      <x:c r="K53" s="204"/>
      <x:c r="L53" s="3"/>
    </x:row>
    <x:row r="54">
      <x:c r="A54" s="3"/>
      <x:c r="B54" s="203"/>
      <x:c r="C54" s="184"/>
      <x:c r="D54" s="184"/>
      <x:c r="E54" s="184"/>
      <x:c r="F54" s="184"/>
      <x:c r="G54" s="184"/>
      <x:c r="H54" s="184"/>
      <x:c r="I54" s="184"/>
      <x:c r="J54" s="184"/>
      <x:c r="K54" s="204"/>
      <x:c r="L54" s="3"/>
    </x:row>
    <x:row r="55">
      <x:c r="A55" s="3"/>
      <x:c r="B55" s="203"/>
      <x:c r="C55" s="184"/>
      <x:c r="D55" s="184"/>
      <x:c r="E55" s="184"/>
      <x:c r="F55" s="184"/>
      <x:c r="G55" s="184"/>
      <x:c r="H55" s="184"/>
      <x:c r="I55" s="184"/>
      <x:c r="J55" s="184"/>
      <x:c r="K55" s="204"/>
      <x:c r="L55" s="3"/>
    </x:row>
    <x:row r="56">
      <x:c r="A56" s="3"/>
      <x:c r="B56" s="203"/>
      <x:c r="C56" s="184"/>
      <x:c r="D56" s="184"/>
      <x:c r="E56" s="184"/>
      <x:c r="F56" s="184"/>
      <x:c r="G56" s="184"/>
      <x:c r="H56" s="184"/>
      <x:c r="I56" s="184"/>
      <x:c r="J56" s="184"/>
      <x:c r="K56" s="204"/>
      <x:c r="L56" s="3"/>
    </x:row>
    <x:row r="57">
      <x:c r="A57" s="3"/>
      <x:c r="B57" s="203"/>
      <x:c r="C57" s="184"/>
      <x:c r="D57" s="184"/>
      <x:c r="E57" s="184"/>
      <x:c r="F57" s="184"/>
      <x:c r="G57" s="184"/>
      <x:c r="H57" s="184"/>
      <x:c r="I57" s="184"/>
      <x:c r="J57" s="184"/>
      <x:c r="K57" s="204"/>
      <x:c r="L57" s="3"/>
    </x:row>
    <x:row r="58">
      <x:c r="A58" s="3"/>
      <x:c r="B58" s="203"/>
      <x:c r="C58" s="184"/>
      <x:c r="D58" s="184"/>
      <x:c r="E58" s="184"/>
      <x:c r="F58" s="184"/>
      <x:c r="G58" s="184"/>
      <x:c r="H58" s="184"/>
      <x:c r="I58" s="184"/>
      <x:c r="J58" s="184"/>
      <x:c r="K58" s="204"/>
      <x:c r="L58" s="3"/>
    </x:row>
    <x:row r="59">
      <x:c r="A59" s="3"/>
      <x:c r="B59" s="203"/>
      <x:c r="C59" s="184"/>
      <x:c r="D59" s="184"/>
      <x:c r="E59" s="184"/>
      <x:c r="F59" s="184"/>
      <x:c r="G59" s="184"/>
      <x:c r="H59" s="184"/>
      <x:c r="I59" s="184"/>
      <x:c r="J59" s="184"/>
      <x:c r="K59" s="204"/>
      <x:c r="L59" s="3"/>
    </x:row>
    <x:row r="60">
      <x:c r="A60" s="3"/>
      <x:c r="B60" s="203"/>
      <x:c r="C60" s="184"/>
      <x:c r="D60" s="184"/>
      <x:c r="E60" s="184"/>
      <x:c r="F60" s="184"/>
      <x:c r="G60" s="184"/>
      <x:c r="H60" s="184"/>
      <x:c r="I60" s="184"/>
      <x:c r="J60" s="184"/>
      <x:c r="K60" s="204"/>
      <x:c r="L60" s="3"/>
    </x:row>
    <x:row r="61">
      <x:c r="A61" s="3"/>
      <x:c r="B61" s="203"/>
      <x:c r="C61" s="184"/>
      <x:c r="D61" s="184"/>
      <x:c r="E61" s="184"/>
      <x:c r="F61" s="184"/>
      <x:c r="G61" s="184"/>
      <x:c r="H61" s="184"/>
      <x:c r="I61" s="184"/>
      <x:c r="J61" s="184"/>
      <x:c r="K61" s="204"/>
      <x:c r="L61" s="3"/>
    </x:row>
    <x:row r="62">
      <x:c r="A62" s="3"/>
      <x:c r="B62" s="203"/>
      <x:c r="C62" s="184"/>
      <x:c r="D62" s="184"/>
      <x:c r="E62" s="184"/>
      <x:c r="F62" s="184"/>
      <x:c r="G62" s="184"/>
      <x:c r="H62" s="184"/>
      <x:c r="I62" s="184"/>
      <x:c r="J62" s="184"/>
      <x:c r="K62" s="204"/>
      <x:c r="L62" s="3"/>
    </x:row>
    <x:row r="63">
      <x:c r="A63" s="3"/>
      <x:c r="B63" s="203"/>
      <x:c r="C63" s="184"/>
      <x:c r="D63" s="184"/>
      <x:c r="E63" s="184"/>
      <x:c r="F63" s="184"/>
      <x:c r="G63" s="184"/>
      <x:c r="H63" s="184"/>
      <x:c r="I63" s="184"/>
      <x:c r="J63" s="184"/>
      <x:c r="K63" s="204"/>
      <x:c r="L63" s="3"/>
    </x:row>
    <x:row r="64">
      <x:c r="A64" s="3"/>
      <x:c r="B64" s="203"/>
      <x:c r="C64" s="184"/>
      <x:c r="D64" s="184"/>
      <x:c r="E64" s="184"/>
      <x:c r="F64" s="184"/>
      <x:c r="G64" s="184"/>
      <x:c r="H64" s="184"/>
      <x:c r="I64" s="184"/>
      <x:c r="J64" s="184"/>
      <x:c r="K64" s="204"/>
      <x:c r="L64" s="3"/>
    </x:row>
    <x:row r="65">
      <x:c r="A65" s="3"/>
      <x:c r="B65" s="203"/>
      <x:c r="C65" s="184"/>
      <x:c r="D65" s="184"/>
      <x:c r="E65" s="184"/>
      <x:c r="F65" s="184"/>
      <x:c r="G65" s="184"/>
      <x:c r="H65" s="184"/>
      <x:c r="I65" s="184"/>
      <x:c r="J65" s="184"/>
      <x:c r="K65" s="204"/>
      <x:c r="L65" s="3"/>
    </x:row>
    <x:row r="66">
      <x:c r="A66" s="3"/>
      <x:c r="B66" s="203"/>
      <x:c r="C66" s="184"/>
      <x:c r="D66" s="184"/>
      <x:c r="E66" s="184"/>
      <x:c r="F66" s="184"/>
      <x:c r="G66" s="184"/>
      <x:c r="H66" s="184"/>
      <x:c r="I66" s="184"/>
      <x:c r="J66" s="184"/>
      <x:c r="K66" s="204"/>
      <x:c r="L66" s="3"/>
    </x:row>
    <x:row r="67">
      <x:c r="A67" s="3"/>
      <x:c r="B67" s="203"/>
      <x:c r="C67" s="184"/>
      <x:c r="D67" s="184"/>
      <x:c r="E67" s="184"/>
      <x:c r="F67" s="184"/>
      <x:c r="G67" s="184"/>
      <x:c r="H67" s="184"/>
      <x:c r="I67" s="184"/>
      <x:c r="J67" s="184"/>
      <x:c r="K67" s="204"/>
      <x:c r="L67" s="3"/>
    </x:row>
    <x:row r="68">
      <x:c r="A68" s="3"/>
      <x:c r="B68" s="203"/>
      <x:c r="C68" s="184"/>
      <x:c r="D68" s="184"/>
      <x:c r="E68" s="184"/>
      <x:c r="F68" s="184"/>
      <x:c r="G68" s="184"/>
      <x:c r="H68" s="184"/>
      <x:c r="I68" s="184"/>
      <x:c r="J68" s="184"/>
      <x:c r="K68" s="204"/>
      <x:c r="L68" s="3"/>
    </x:row>
    <x:row r="69">
      <x:c r="A69" s="3"/>
      <x:c r="B69" s="203"/>
      <x:c r="C69" s="184"/>
      <x:c r="D69" s="184"/>
      <x:c r="E69" s="184"/>
      <x:c r="F69" s="184"/>
      <x:c r="G69" s="184"/>
      <x:c r="H69" s="184"/>
      <x:c r="I69" s="184"/>
      <x:c r="J69" s="184"/>
      <x:c r="K69" s="204"/>
      <x:c r="L69" s="3"/>
    </x:row>
    <x:row r="70">
      <x:c r="A70" s="3"/>
      <x:c r="B70" s="211"/>
      <x:c r="C70" s="212"/>
      <x:c r="D70" s="212"/>
      <x:c r="E70" s="212"/>
      <x:c r="F70" s="212"/>
      <x:c r="G70" s="212"/>
      <x:c r="H70" s="212"/>
      <x:c r="I70" s="212"/>
      <x:c r="J70" s="212"/>
      <x:c r="K70" s="21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mergeCells>
    <x:mergeCell ref="B2:K2"/>
    <x:mergeCell ref="B3:K3"/>
    <x:mergeCell ref="B4:K4"/>
    <x:mergeCell ref="B6:J6"/>
    <x:mergeCell ref="B28:J28"/>
    <x:mergeCell ref="B29:J29"/>
    <x:mergeCell ref="B30:J30"/>
    <x:mergeCell ref="B31:J31"/>
    <x:mergeCell ref="B32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18.889999389648438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8.889999389648438" hidden="0" customWidth="1"/>
    <x:col min="9" max="9" width="20" hidden="0" customWidth="1"/>
    <x:col min="10" max="10" width="24.440000534057617" hidden="0" customWidth="1"/>
    <x:col min="11" max="11" width="20" hidden="0" customWidth="1"/>
    <x:col min="12" max="12" width="1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169" t="str">
        <x:v>Debt &amp; Subscriptions</x:v>
      </x:c>
      <x:c r="C2" s="170" t="str"/>
      <x:c r="D2" s="170" t="str"/>
      <x:c r="E2" s="170" t="str"/>
      <x:c r="F2" s="170" t="str"/>
      <x:c r="G2" s="170" t="str"/>
      <x:c r="H2" s="170" t="str"/>
      <x:c r="I2" s="170" t="str"/>
      <x:c r="J2" s="170" t="str"/>
      <x:c r="K2" s="171" t="str"/>
      <x:c r="L2" s="3"/>
    </x:row>
    <x:row r="3">
      <x:c r="A3" s="3"/>
      <x:c r="B3" s="172" t="str">
        <x:v>Find the quiet leaks and choose one focus area.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173" t="str"/>
      <x:c r="L3" s="3"/>
    </x:row>
    <x:row r="4">
      <x:c r="A4" s="3"/>
      <x:c r="B4" s="174" t="str">
        <x:v>Purpose: reduce pressure without starving the rest of the month.</x:v>
      </x:c>
      <x:c r="C4" s="175" t="str"/>
      <x:c r="D4" s="175" t="str"/>
      <x:c r="E4" s="175" t="str"/>
      <x:c r="F4" s="175" t="str"/>
      <x:c r="G4" s="175" t="str"/>
      <x:c r="H4" s="175" t="str"/>
      <x:c r="I4" s="175" t="str"/>
      <x:c r="J4" s="175" t="str"/>
      <x:c r="K4" s="176" t="str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198" t="str">
        <x:v>Debt pressure</x:v>
      </x:c>
      <x:c r="C6" s="199" t="str">
        <x:v>Debt pressure</x:v>
      </x:c>
      <x:c r="D6" s="199" t="str">
        <x:v>Debt pressure</x:v>
      </x:c>
      <x:c r="E6" s="199" t="str">
        <x:v>Debt pressure</x:v>
      </x:c>
      <x:c r="F6" s="199" t="str">
        <x:v>Debt pressure</x:v>
      </x:c>
      <x:c r="G6" s="199" t="str">
        <x:v>Debt pressure</x:v>
      </x:c>
      <x:c r="H6" s="199" t="str">
        <x:v>Debt pressure</x:v>
      </x:c>
      <x:c r="I6" s="255"/>
      <x:c r="J6" s="256" t="str">
        <x:v>Leak summary</x:v>
      </x:c>
      <x:c r="K6" s="257" t="str">
        <x:v>Leak summary</x:v>
      </x:c>
      <x:c r="L6" s="3"/>
    </x:row>
    <x:row r="7">
      <x:c r="A7" s="3"/>
      <x:c r="B7" s="240" t="str">
        <x:v>Debt</x:v>
      </x:c>
      <x:c r="C7" s="229" t="str">
        <x:v>Balance</x:v>
      </x:c>
      <x:c r="D7" s="229" t="str">
        <x:v>Rate</x:v>
      </x:c>
      <x:c r="E7" s="229" t="str">
        <x:v>Minimum</x:v>
      </x:c>
      <x:c r="F7" s="229" t="str">
        <x:v>Extra Target</x:v>
      </x:c>
      <x:c r="G7" s="229" t="str">
        <x:v>Monthly Total</x:v>
      </x:c>
      <x:c r="H7" s="229" t="str">
        <x:v>Focus Note</x:v>
      </x:c>
      <x:c r="I7" s="184"/>
      <x:c r="J7" s="193" t="str">
        <x:v>Total debt minimums</x:v>
      </x:c>
      <x:c r="K7" s="258" t="n">
        <x:f>SUM(E8:E16)</x:f>
        <x:v>940</x:v>
      </x:c>
      <x:c r="L7" s="3"/>
    </x:row>
    <x:row r="8">
      <x:c r="A8" s="3"/>
      <x:c r="B8" s="241" t="str">
        <x:v>Credit Card 1</x:v>
      </x:c>
      <x:c r="C8" s="232" t="n">
        <x:v>4200</x:v>
      </x:c>
      <x:c r="D8" s="254" t="n">
        <x:v>0.24989999999999998</x:v>
      </x:c>
      <x:c r="E8" s="232" t="n">
        <x:v>140</x:v>
      </x:c>
      <x:c r="F8" s="232" t="n">
        <x:v>125</x:v>
      </x:c>
      <x:c r="G8" s="232" t="n">
        <x:f>IF(B8="","",E8+F8)</x:f>
        <x:v>265</x:v>
      </x:c>
      <x:c r="H8" s="181" t="str">
        <x:v>High interest</x:v>
      </x:c>
      <x:c r="I8" s="184"/>
      <x:c r="J8" s="193" t="str">
        <x:v>Extra payoff target</x:v>
      </x:c>
      <x:c r="K8" s="258" t="n">
        <x:f>SUM(F8:F16)</x:f>
        <x:v>175</x:v>
      </x:c>
      <x:c r="L8" s="3"/>
    </x:row>
    <x:row r="9">
      <x:c r="A9" s="3"/>
      <x:c r="B9" s="241" t="str">
        <x:v>Credit Card 2</x:v>
      </x:c>
      <x:c r="C9" s="232" t="n">
        <x:v>1800</x:v>
      </x:c>
      <x:c r="D9" s="254" t="n">
        <x:v>0.1999</x:v>
      </x:c>
      <x:c r="E9" s="232" t="n">
        <x:v>70</x:v>
      </x:c>
      <x:c r="F9" s="232" t="n">
        <x:v>50</x:v>
      </x:c>
      <x:c r="G9" s="232" t="n">
        <x:f>IF(B9="","",E9+F9)</x:f>
        <x:v>120</x:v>
      </x:c>
      <x:c r="H9" s="181" t="str">
        <x:v>Smallest balance</x:v>
      </x:c>
      <x:c r="I9" s="184"/>
      <x:c r="J9" s="193" t="str">
        <x:v>Subscription total</x:v>
      </x:c>
      <x:c r="K9" s="258" t="n">
        <x:f>SUM(C21:C33)</x:f>
        <x:v>218</x:v>
      </x:c>
      <x:c r="L9" s="3"/>
    </x:row>
    <x:row r="10">
      <x:c r="A10" s="3"/>
      <x:c r="B10" s="241" t="str">
        <x:v>Student Loan</x:v>
      </x:c>
      <x:c r="C10" s="232" t="n">
        <x:v>14500</x:v>
      </x:c>
      <x:c r="D10" s="254" t="n">
        <x:v>0.065</x:v>
      </x:c>
      <x:c r="E10" s="232" t="n">
        <x:v>310</x:v>
      </x:c>
      <x:c r="F10" s="232" t="n">
        <x:v>0</x:v>
      </x:c>
      <x:c r="G10" s="232" t="n">
        <x:f>IF(B10="","",E10+F10)</x:f>
        <x:v>310</x:v>
      </x:c>
      <x:c r="H10" s="181" t="str">
        <x:v>Steady minimum</x:v>
      </x:c>
      <x:c r="I10" s="184"/>
      <x:c r="J10" s="193" t="str">
        <x:v>Cut list total</x:v>
      </x:c>
      <x:c r="K10" s="258" t="n">
        <x:f>SUMIF(D21:D33,"Cut",C21:C33)</x:f>
        <x:v>26</x:v>
      </x:c>
      <x:c r="L10" s="3"/>
    </x:row>
    <x:row r="11">
      <x:c r="A11" s="3"/>
      <x:c r="B11" s="241" t="str">
        <x:v>Car Loan</x:v>
      </x:c>
      <x:c r="C11" s="232" t="n">
        <x:v>9300</x:v>
      </x:c>
      <x:c r="D11" s="254" t="n">
        <x:v>0.07200000000000001</x:v>
      </x:c>
      <x:c r="E11" s="232" t="n">
        <x:v>420</x:v>
      </x:c>
      <x:c r="F11" s="232" t="n">
        <x:v>0</x:v>
      </x:c>
      <x:c r="G11" s="232" t="n">
        <x:f>IF(B11="","",E11+F11)</x:f>
        <x:v>420</x:v>
      </x:c>
      <x:c r="H11" s="181" t="str">
        <x:v>Fixed payment</x:v>
      </x:c>
      <x:c r="I11" s="184"/>
      <x:c r="J11" s="193" t="str">
        <x:v>Annual subscription cost</x:v>
      </x:c>
      <x:c r="K11" s="258" t="n">
        <x:f>SUM(E21:E33)</x:f>
        <x:v>2616</x:v>
      </x:c>
      <x:c r="L11" s="3"/>
    </x:row>
    <x:row r="12">
      <x:c r="A12" s="3"/>
      <x:c r="B12" s="241" t="str"/>
      <x:c r="C12" s="232" t="str"/>
      <x:c r="D12" s="254" t="str"/>
      <x:c r="E12" s="232" t="str"/>
      <x:c r="F12" s="232" t="str"/>
      <x:c r="G12" s="232" t="str">
        <x:f>IF(B12="","",E12+F12)</x:f>
      </x:c>
      <x:c r="H12" s="181" t="str"/>
      <x:c r="I12" s="184"/>
      <x:c r="J12" s="193" t="str">
        <x:v>Next move</x:v>
      </x:c>
      <x:c r="K12" s="210" t="str">
        <x:f>IF(K10&gt;0,"Cancel $"&amp;TEXT(K10,"#,##0")&amp;"/mo of unused subscriptions",IF(K8&gt;0,"Apply extra payoff target intentionally","Keep tracking"))</x:f>
        <x:v>Cancel $26/mo of unused subscriptions</x:v>
      </x:c>
      <x:c r="L12" s="3"/>
    </x:row>
    <x:row r="13">
      <x:c r="A13" s="3"/>
      <x:c r="B13" s="241" t="str"/>
      <x:c r="C13" s="232" t="str"/>
      <x:c r="D13" s="254" t="str"/>
      <x:c r="E13" s="232" t="str"/>
      <x:c r="F13" s="232" t="str"/>
      <x:c r="G13" s="232" t="str">
        <x:f>IF(B13="","",E13+F13)</x:f>
      </x:c>
      <x:c r="H13" s="181" t="str"/>
      <x:c r="I13" s="184"/>
      <x:c r="J13" s="184"/>
      <x:c r="K13" s="204"/>
      <x:c r="L13" s="3"/>
    </x:row>
    <x:row r="14">
      <x:c r="A14" s="3"/>
      <x:c r="B14" s="241" t="str"/>
      <x:c r="C14" s="232" t="str"/>
      <x:c r="D14" s="254" t="str"/>
      <x:c r="E14" s="232" t="str"/>
      <x:c r="F14" s="232" t="str"/>
      <x:c r="G14" s="232" t="str">
        <x:f>IF(B14="","",E14+F14)</x:f>
      </x:c>
      <x:c r="H14" s="181" t="str"/>
      <x:c r="I14" s="184"/>
      <x:c r="J14" s="184"/>
      <x:c r="K14" s="204"/>
      <x:c r="L14" s="3"/>
    </x:row>
    <x:row r="15">
      <x:c r="A15" s="3"/>
      <x:c r="B15" s="241" t="str"/>
      <x:c r="C15" s="232" t="str"/>
      <x:c r="D15" s="254" t="str"/>
      <x:c r="E15" s="232" t="str"/>
      <x:c r="F15" s="232" t="str"/>
      <x:c r="G15" s="232" t="str">
        <x:f>IF(B15="","",E15+F15)</x:f>
      </x:c>
      <x:c r="H15" s="181" t="str"/>
      <x:c r="I15" s="184"/>
      <x:c r="J15" s="184"/>
      <x:c r="K15" s="204"/>
      <x:c r="L15" s="3"/>
    </x:row>
    <x:row r="16">
      <x:c r="A16" s="3"/>
      <x:c r="B16" s="241" t="str"/>
      <x:c r="C16" s="232" t="str"/>
      <x:c r="D16" s="254" t="str"/>
      <x:c r="E16" s="232" t="str"/>
      <x:c r="F16" s="232" t="str"/>
      <x:c r="G16" s="232" t="str">
        <x:f>IF(B16="","",E16+F16)</x:f>
      </x:c>
      <x:c r="H16" s="181" t="str"/>
      <x:c r="I16" s="184"/>
      <x:c r="J16" s="184"/>
      <x:c r="K16" s="204"/>
      <x:c r="L16" s="3"/>
    </x:row>
    <x:row r="17">
      <x:c r="A17" s="3"/>
      <x:c r="B17" s="203"/>
      <x:c r="C17" s="184"/>
      <x:c r="D17" s="184"/>
      <x:c r="E17" s="184"/>
      <x:c r="F17" s="184"/>
      <x:c r="G17" s="184"/>
      <x:c r="H17" s="184"/>
      <x:c r="I17" s="184"/>
      <x:c r="J17" s="184"/>
      <x:c r="K17" s="204"/>
      <x:c r="L17" s="3"/>
    </x:row>
    <x:row r="18">
      <x:c r="A18" s="3"/>
      <x:c r="B18" s="203"/>
      <x:c r="C18" s="184"/>
      <x:c r="D18" s="184"/>
      <x:c r="E18" s="184"/>
      <x:c r="F18" s="184"/>
      <x:c r="G18" s="184"/>
      <x:c r="H18" s="184"/>
      <x:c r="I18" s="184"/>
      <x:c r="J18" s="184"/>
      <x:c r="K18" s="204"/>
      <x:c r="L18" s="3"/>
    </x:row>
    <x:row r="19">
      <x:c r="A19" s="3"/>
      <x:c r="B19" s="205" t="str">
        <x:v>Subscription audit</x:v>
      </x:c>
      <x:c r="C19" s="187" t="str">
        <x:v>Subscription audit</x:v>
      </x:c>
      <x:c r="D19" s="187" t="str">
        <x:v>Subscription audit</x:v>
      </x:c>
      <x:c r="E19" s="187" t="str">
        <x:v>Subscription audit</x:v>
      </x:c>
      <x:c r="F19" s="187" t="str">
        <x:v>Subscription audit</x:v>
      </x:c>
      <x:c r="G19" s="187" t="str">
        <x:v>Subscription audit</x:v>
      </x:c>
      <x:c r="H19" s="187" t="str">
        <x:v>Subscription audit</x:v>
      </x:c>
      <x:c r="I19" s="184"/>
      <x:c r="J19" s="184"/>
      <x:c r="K19" s="204"/>
      <x:c r="L19" s="3"/>
    </x:row>
    <x:row r="20">
      <x:c r="A20" s="3"/>
      <x:c r="B20" s="240" t="str">
        <x:v>Subscription</x:v>
      </x:c>
      <x:c r="C20" s="229" t="str">
        <x:v>Monthly Cost</x:v>
      </x:c>
      <x:c r="D20" s="229" t="str">
        <x:v>Keep / Cut / Review</x:v>
      </x:c>
      <x:c r="E20" s="229" t="str">
        <x:v>Annual Cost</x:v>
      </x:c>
      <x:c r="F20" s="229" t="str">
        <x:v>Reason</x:v>
      </x:c>
      <x:c r="G20" s="229" t="str">
        <x:v>Action</x:v>
      </x:c>
      <x:c r="H20" s="184"/>
      <x:c r="I20" s="184"/>
      <x:c r="J20" s="184"/>
      <x:c r="K20" s="204"/>
      <x:c r="L20" s="3"/>
    </x:row>
    <x:row r="21">
      <x:c r="A21" s="3"/>
      <x:c r="B21" s="241" t="str">
        <x:v>Streaming bundle</x:v>
      </x:c>
      <x:c r="C21" s="232" t="n">
        <x:v>39</x:v>
      </x:c>
      <x:c r="D21" s="181" t="str">
        <x:v>Review</x:v>
      </x:c>
      <x:c r="E21" s="232" t="n">
        <x:f>IF(C21="","",C21*12)</x:f>
        <x:v>468</x:v>
      </x:c>
      <x:c r="F21" s="181" t="str">
        <x:v>Overlaps with another subscription</x:v>
      </x:c>
      <x:c r="G21" s="181" t="str">
        <x:v>Decide by payday</x:v>
      </x:c>
      <x:c r="H21" s="184"/>
      <x:c r="I21" s="184"/>
      <x:c r="J21" s="184"/>
      <x:c r="K21" s="204"/>
      <x:c r="L21" s="3"/>
    </x:row>
    <x:row r="22">
      <x:c r="A22" s="3"/>
      <x:c r="B22" s="241" t="str">
        <x:v>Music</x:v>
      </x:c>
      <x:c r="C22" s="232" t="n">
        <x:v>11</x:v>
      </x:c>
      <x:c r="D22" s="181" t="str">
        <x:v>Keep</x:v>
      </x:c>
      <x:c r="E22" s="232" t="n">
        <x:f>IF(C22="","",C22*12)</x:f>
        <x:v>132</x:v>
      </x:c>
      <x:c r="F22" s="181" t="str">
        <x:v>Used daily</x:v>
      </x:c>
      <x:c r="G22" s="181" t="str">
        <x:v>Keep</x:v>
      </x:c>
      <x:c r="H22" s="184"/>
      <x:c r="I22" s="184"/>
      <x:c r="J22" s="184"/>
      <x:c r="K22" s="204"/>
      <x:c r="L22" s="3"/>
    </x:row>
    <x:row r="23">
      <x:c r="A23" s="3"/>
      <x:c r="B23" s="241" t="str">
        <x:v>Fitness app</x:v>
      </x:c>
      <x:c r="C23" s="232" t="n">
        <x:v>19</x:v>
      </x:c>
      <x:c r="D23" s="181" t="str">
        <x:v>Cut</x:v>
      </x:c>
      <x:c r="E23" s="232" t="n">
        <x:f>IF(C23="","",C23*12)</x:f>
        <x:v>228</x:v>
      </x:c>
      <x:c r="F23" s="181" t="str">
        <x:v>Not used this month</x:v>
      </x:c>
      <x:c r="G23" s="181" t="str">
        <x:v>Cancel this week</x:v>
      </x:c>
      <x:c r="H23" s="184"/>
      <x:c r="I23" s="184"/>
      <x:c r="J23" s="184"/>
      <x:c r="K23" s="204"/>
      <x:c r="L23" s="3"/>
    </x:row>
    <x:row r="24">
      <x:c r="A24" s="3"/>
      <x:c r="B24" s="241" t="str">
        <x:v>Cloud storage</x:v>
      </x:c>
      <x:c r="C24" s="232" t="n">
        <x:v>10</x:v>
      </x:c>
      <x:c r="D24" s="181" t="str">
        <x:v>Keep</x:v>
      </x:c>
      <x:c r="E24" s="232" t="n">
        <x:f>IF(C24="","",C24*12)</x:f>
        <x:v>120</x:v>
      </x:c>
      <x:c r="F24" s="181" t="str">
        <x:v>Needed</x:v>
      </x:c>
      <x:c r="G24" s="181" t="str">
        <x:v>Keep</x:v>
      </x:c>
      <x:c r="H24" s="184"/>
      <x:c r="I24" s="184"/>
      <x:c r="J24" s="184"/>
      <x:c r="K24" s="204"/>
      <x:c r="L24" s="3"/>
    </x:row>
    <x:row r="25">
      <x:c r="A25" s="3"/>
      <x:c r="B25" s="241" t="str">
        <x:v>Meal plan app</x:v>
      </x:c>
      <x:c r="C25" s="232" t="n">
        <x:v>29</x:v>
      </x:c>
      <x:c r="D25" s="181" t="str">
        <x:v>Review</x:v>
      </x:c>
      <x:c r="E25" s="232" t="n">
        <x:f>IF(C25="","",C25*12)</x:f>
        <x:v>348</x:v>
      </x:c>
      <x:c r="F25" s="181" t="str">
        <x:v>Could pause</x:v>
      </x:c>
      <x:c r="G25" s="181" t="str">
        <x:v>Decide by payday</x:v>
      </x:c>
      <x:c r="H25" s="184"/>
      <x:c r="I25" s="184"/>
      <x:c r="J25" s="184"/>
      <x:c r="K25" s="204"/>
      <x:c r="L25" s="3"/>
    </x:row>
    <x:row r="26">
      <x:c r="A26" s="3"/>
      <x:c r="B26" s="241" t="str">
        <x:v>News app</x:v>
      </x:c>
      <x:c r="C26" s="232" t="n">
        <x:v>7</x:v>
      </x:c>
      <x:c r="D26" s="181" t="str">
        <x:v>Cut</x:v>
      </x:c>
      <x:c r="E26" s="232" t="n">
        <x:f>IF(C26="","",C26*12)</x:f>
        <x:v>84</x:v>
      </x:c>
      <x:c r="F26" s="181" t="str">
        <x:v>Rarely used</x:v>
      </x:c>
      <x:c r="G26" s="181" t="str">
        <x:v>Cancel this week</x:v>
      </x:c>
      <x:c r="H26" s="184"/>
      <x:c r="I26" s="184"/>
      <x:c r="J26" s="184"/>
      <x:c r="K26" s="204"/>
      <x:c r="L26" s="3"/>
    </x:row>
    <x:row r="27">
      <x:c r="A27" s="3"/>
      <x:c r="B27" s="241" t="str">
        <x:v>Design app</x:v>
      </x:c>
      <x:c r="C27" s="232" t="n">
        <x:v>35</x:v>
      </x:c>
      <x:c r="D27" s="181" t="str">
        <x:v>Review</x:v>
      </x:c>
      <x:c r="E27" s="232" t="n">
        <x:f>IF(C27="","",C27*12)</x:f>
        <x:v>420</x:v>
      </x:c>
      <x:c r="F27" s="181" t="str">
        <x:v>Check if still needed</x:v>
      </x:c>
      <x:c r="G27" s="181" t="str">
        <x:v>Decide by payday</x:v>
      </x:c>
      <x:c r="H27" s="184"/>
      <x:c r="I27" s="184"/>
      <x:c r="J27" s="184"/>
      <x:c r="K27" s="204"/>
      <x:c r="L27" s="3"/>
    </x:row>
    <x:row r="28">
      <x:c r="A28" s="3"/>
      <x:c r="B28" s="241" t="str">
        <x:v>Membership</x:v>
      </x:c>
      <x:c r="C28" s="232" t="n">
        <x:v>68</x:v>
      </x:c>
      <x:c r="D28" s="181" t="str">
        <x:v>Review</x:v>
      </x:c>
      <x:c r="E28" s="232" t="n">
        <x:f>IF(C28="","",C28*12)</x:f>
        <x:v>816</x:v>
      </x:c>
      <x:c r="F28" s="181" t="str">
        <x:v>Annual value unclear</x:v>
      </x:c>
      <x:c r="G28" s="181" t="str">
        <x:v>Decide by payday</x:v>
      </x:c>
      <x:c r="H28" s="184"/>
      <x:c r="I28" s="184"/>
      <x:c r="J28" s="184"/>
      <x:c r="K28" s="204"/>
      <x:c r="L28" s="3"/>
    </x:row>
    <x:row r="29">
      <x:c r="A29" s="3"/>
      <x:c r="B29" s="241" t="str"/>
      <x:c r="C29" s="232" t="str"/>
      <x:c r="D29" s="181" t="str"/>
      <x:c r="E29" s="232" t="str">
        <x:f>IF(C29="","",C29*12)</x:f>
      </x:c>
      <x:c r="F29" s="181" t="str"/>
      <x:c r="G29" s="181" t="str"/>
      <x:c r="H29" s="184"/>
      <x:c r="I29" s="184"/>
      <x:c r="J29" s="184"/>
      <x:c r="K29" s="204"/>
      <x:c r="L29" s="3"/>
    </x:row>
    <x:row r="30">
      <x:c r="A30" s="3"/>
      <x:c r="B30" s="241" t="str"/>
      <x:c r="C30" s="232" t="str"/>
      <x:c r="D30" s="181" t="str"/>
      <x:c r="E30" s="232" t="str">
        <x:f>IF(C30="","",C30*12)</x:f>
      </x:c>
      <x:c r="F30" s="181" t="str"/>
      <x:c r="G30" s="181" t="str"/>
      <x:c r="H30" s="184"/>
      <x:c r="I30" s="184"/>
      <x:c r="J30" s="184"/>
      <x:c r="K30" s="204"/>
      <x:c r="L30" s="3"/>
    </x:row>
    <x:row r="31">
      <x:c r="A31" s="3"/>
      <x:c r="B31" s="241" t="str"/>
      <x:c r="C31" s="232" t="str"/>
      <x:c r="D31" s="181" t="str"/>
      <x:c r="E31" s="232" t="str">
        <x:f>IF(C31="","",C31*12)</x:f>
      </x:c>
      <x:c r="F31" s="181" t="str"/>
      <x:c r="G31" s="181" t="str"/>
      <x:c r="H31" s="184"/>
      <x:c r="I31" s="184"/>
      <x:c r="J31" s="184"/>
      <x:c r="K31" s="204"/>
      <x:c r="L31" s="3"/>
    </x:row>
    <x:row r="32">
      <x:c r="A32" s="3"/>
      <x:c r="B32" s="241" t="str"/>
      <x:c r="C32" s="232" t="str"/>
      <x:c r="D32" s="181" t="str"/>
      <x:c r="E32" s="232" t="str">
        <x:f>IF(C32="","",C32*12)</x:f>
      </x:c>
      <x:c r="F32" s="181" t="str"/>
      <x:c r="G32" s="181" t="str"/>
      <x:c r="H32" s="184"/>
      <x:c r="I32" s="184"/>
      <x:c r="J32" s="184"/>
      <x:c r="K32" s="204"/>
      <x:c r="L32" s="3"/>
    </x:row>
    <x:row r="33">
      <x:c r="A33" s="3"/>
      <x:c r="B33" s="241" t="str"/>
      <x:c r="C33" s="232" t="str"/>
      <x:c r="D33" s="181" t="str"/>
      <x:c r="E33" s="232" t="str">
        <x:f>IF(C33="","",C33*12)</x:f>
      </x:c>
      <x:c r="F33" s="181" t="str"/>
      <x:c r="G33" s="181" t="str"/>
      <x:c r="H33" s="184"/>
      <x:c r="I33" s="184"/>
      <x:c r="J33" s="184"/>
      <x:c r="K33" s="204"/>
      <x:c r="L33" s="3"/>
    </x:row>
    <x:row r="34">
      <x:c r="A34" s="3"/>
      <x:c r="B34" s="203"/>
      <x:c r="C34" s="184"/>
      <x:c r="D34" s="184"/>
      <x:c r="E34" s="184"/>
      <x:c r="F34" s="184"/>
      <x:c r="G34" s="184"/>
      <x:c r="H34" s="184"/>
      <x:c r="I34" s="184"/>
      <x:c r="J34" s="184"/>
      <x:c r="K34" s="204"/>
      <x:c r="L34" s="3"/>
    </x:row>
    <x:row r="35">
      <x:c r="A35" s="3"/>
      <x:c r="B35" s="203"/>
      <x:c r="C35" s="184"/>
      <x:c r="D35" s="184"/>
      <x:c r="E35" s="184"/>
      <x:c r="F35" s="184"/>
      <x:c r="G35" s="184"/>
      <x:c r="H35" s="184"/>
      <x:c r="I35" s="184"/>
      <x:c r="J35" s="184"/>
      <x:c r="K35" s="204"/>
      <x:c r="L35" s="3"/>
    </x:row>
    <x:row r="36">
      <x:c r="A36" s="3"/>
      <x:c r="B36" s="203"/>
      <x:c r="C36" s="184"/>
      <x:c r="D36" s="184"/>
      <x:c r="E36" s="184"/>
      <x:c r="F36" s="184"/>
      <x:c r="G36" s="184"/>
      <x:c r="H36" s="184"/>
      <x:c r="I36" s="184"/>
      <x:c r="J36" s="184"/>
      <x:c r="K36" s="204"/>
      <x:c r="L36" s="3"/>
    </x:row>
    <x:row r="37">
      <x:c r="A37" s="3"/>
      <x:c r="B37" s="203"/>
      <x:c r="C37" s="184"/>
      <x:c r="D37" s="184"/>
      <x:c r="E37" s="184"/>
      <x:c r="F37" s="184"/>
      <x:c r="G37" s="184"/>
      <x:c r="H37" s="184"/>
      <x:c r="I37" s="184"/>
      <x:c r="J37" s="184"/>
      <x:c r="K37" s="204"/>
      <x:c r="L37" s="3"/>
    </x:row>
    <x:row r="38">
      <x:c r="A38" s="3"/>
      <x:c r="B38" s="203"/>
      <x:c r="C38" s="184"/>
      <x:c r="D38" s="184"/>
      <x:c r="E38" s="184"/>
      <x:c r="F38" s="184"/>
      <x:c r="G38" s="184"/>
      <x:c r="H38" s="184"/>
      <x:c r="I38" s="184"/>
      <x:c r="J38" s="184"/>
      <x:c r="K38" s="204"/>
      <x:c r="L38" s="3"/>
    </x:row>
    <x:row r="39">
      <x:c r="A39" s="3"/>
      <x:c r="B39" s="203"/>
      <x:c r="C39" s="184"/>
      <x:c r="D39" s="184"/>
      <x:c r="E39" s="184"/>
      <x:c r="F39" s="184"/>
      <x:c r="G39" s="184"/>
      <x:c r="H39" s="184"/>
      <x:c r="I39" s="184"/>
      <x:c r="J39" s="184"/>
      <x:c r="K39" s="204"/>
      <x:c r="L39" s="3"/>
    </x:row>
    <x:row r="40">
      <x:c r="A40" s="3"/>
      <x:c r="B40" s="203"/>
      <x:c r="C40" s="184"/>
      <x:c r="D40" s="184"/>
      <x:c r="E40" s="184"/>
      <x:c r="F40" s="184"/>
      <x:c r="G40" s="184"/>
      <x:c r="H40" s="184"/>
      <x:c r="I40" s="184"/>
      <x:c r="J40" s="184"/>
      <x:c r="K40" s="204"/>
      <x:c r="L40" s="3"/>
    </x:row>
    <x:row r="41">
      <x:c r="A41" s="3"/>
      <x:c r="B41" s="203"/>
      <x:c r="C41" s="184"/>
      <x:c r="D41" s="184"/>
      <x:c r="E41" s="184"/>
      <x:c r="F41" s="184"/>
      <x:c r="G41" s="184"/>
      <x:c r="H41" s="184"/>
      <x:c r="I41" s="184"/>
      <x:c r="J41" s="184"/>
      <x:c r="K41" s="204"/>
      <x:c r="L41" s="3"/>
    </x:row>
    <x:row r="42">
      <x:c r="A42" s="3"/>
      <x:c r="B42" s="203"/>
      <x:c r="C42" s="184"/>
      <x:c r="D42" s="184"/>
      <x:c r="E42" s="184"/>
      <x:c r="F42" s="184"/>
      <x:c r="G42" s="184"/>
      <x:c r="H42" s="184"/>
      <x:c r="I42" s="184"/>
      <x:c r="J42" s="184"/>
      <x:c r="K42" s="204"/>
      <x:c r="L42" s="3"/>
    </x:row>
    <x:row r="43">
      <x:c r="A43" s="3"/>
      <x:c r="B43" s="203"/>
      <x:c r="C43" s="184"/>
      <x:c r="D43" s="184"/>
      <x:c r="E43" s="184"/>
      <x:c r="F43" s="184"/>
      <x:c r="G43" s="184"/>
      <x:c r="H43" s="184"/>
      <x:c r="I43" s="184"/>
      <x:c r="J43" s="184"/>
      <x:c r="K43" s="204"/>
      <x:c r="L43" s="3"/>
    </x:row>
    <x:row r="44">
      <x:c r="A44" s="3"/>
      <x:c r="B44" s="203"/>
      <x:c r="C44" s="184"/>
      <x:c r="D44" s="184"/>
      <x:c r="E44" s="184"/>
      <x:c r="F44" s="184"/>
      <x:c r="G44" s="184"/>
      <x:c r="H44" s="184"/>
      <x:c r="I44" s="184"/>
      <x:c r="J44" s="184"/>
      <x:c r="K44" s="204"/>
      <x:c r="L44" s="3"/>
    </x:row>
    <x:row r="45">
      <x:c r="A45" s="3"/>
      <x:c r="B45" s="203"/>
      <x:c r="C45" s="184"/>
      <x:c r="D45" s="184"/>
      <x:c r="E45" s="184"/>
      <x:c r="F45" s="184"/>
      <x:c r="G45" s="184"/>
      <x:c r="H45" s="184"/>
      <x:c r="I45" s="184"/>
      <x:c r="J45" s="184"/>
      <x:c r="K45" s="204"/>
      <x:c r="L45" s="3"/>
    </x:row>
    <x:row r="46">
      <x:c r="A46" s="3"/>
      <x:c r="B46" s="203"/>
      <x:c r="C46" s="184"/>
      <x:c r="D46" s="184"/>
      <x:c r="E46" s="184"/>
      <x:c r="F46" s="184"/>
      <x:c r="G46" s="184"/>
      <x:c r="H46" s="184"/>
      <x:c r="I46" s="184"/>
      <x:c r="J46" s="184"/>
      <x:c r="K46" s="204"/>
      <x:c r="L46" s="3"/>
    </x:row>
    <x:row r="47">
      <x:c r="A47" s="3"/>
      <x:c r="B47" s="203"/>
      <x:c r="C47" s="184"/>
      <x:c r="D47" s="184"/>
      <x:c r="E47" s="184"/>
      <x:c r="F47" s="184"/>
      <x:c r="G47" s="184"/>
      <x:c r="H47" s="184"/>
      <x:c r="I47" s="184"/>
      <x:c r="J47" s="184"/>
      <x:c r="K47" s="204"/>
      <x:c r="L47" s="3"/>
    </x:row>
    <x:row r="48">
      <x:c r="A48" s="3"/>
      <x:c r="B48" s="203"/>
      <x:c r="C48" s="184"/>
      <x:c r="D48" s="184"/>
      <x:c r="E48" s="184"/>
      <x:c r="F48" s="184"/>
      <x:c r="G48" s="184"/>
      <x:c r="H48" s="184"/>
      <x:c r="I48" s="184"/>
      <x:c r="J48" s="184"/>
      <x:c r="K48" s="204"/>
      <x:c r="L48" s="3"/>
    </x:row>
    <x:row r="49">
      <x:c r="A49" s="3"/>
      <x:c r="B49" s="203"/>
      <x:c r="C49" s="184"/>
      <x:c r="D49" s="184"/>
      <x:c r="E49" s="184"/>
      <x:c r="F49" s="184"/>
      <x:c r="G49" s="184"/>
      <x:c r="H49" s="184"/>
      <x:c r="I49" s="184"/>
      <x:c r="J49" s="184"/>
      <x:c r="K49" s="204"/>
      <x:c r="L49" s="3"/>
    </x:row>
    <x:row r="50">
      <x:c r="A50" s="3"/>
      <x:c r="B50" s="203"/>
      <x:c r="C50" s="184"/>
      <x:c r="D50" s="184"/>
      <x:c r="E50" s="184"/>
      <x:c r="F50" s="184"/>
      <x:c r="G50" s="184"/>
      <x:c r="H50" s="184"/>
      <x:c r="I50" s="184"/>
      <x:c r="J50" s="184"/>
      <x:c r="K50" s="204"/>
      <x:c r="L50" s="3"/>
    </x:row>
    <x:row r="51">
      <x:c r="A51" s="3"/>
      <x:c r="B51" s="203"/>
      <x:c r="C51" s="184"/>
      <x:c r="D51" s="184"/>
      <x:c r="E51" s="184"/>
      <x:c r="F51" s="184"/>
      <x:c r="G51" s="184"/>
      <x:c r="H51" s="184"/>
      <x:c r="I51" s="184"/>
      <x:c r="J51" s="184"/>
      <x:c r="K51" s="204"/>
      <x:c r="L51" s="3"/>
    </x:row>
    <x:row r="52">
      <x:c r="A52" s="3"/>
      <x:c r="B52" s="203"/>
      <x:c r="C52" s="184"/>
      <x:c r="D52" s="184"/>
      <x:c r="E52" s="184"/>
      <x:c r="F52" s="184"/>
      <x:c r="G52" s="184"/>
      <x:c r="H52" s="184"/>
      <x:c r="I52" s="184"/>
      <x:c r="J52" s="184"/>
      <x:c r="K52" s="204"/>
      <x:c r="L52" s="3"/>
    </x:row>
    <x:row r="53">
      <x:c r="A53" s="3"/>
      <x:c r="B53" s="203"/>
      <x:c r="C53" s="184"/>
      <x:c r="D53" s="184"/>
      <x:c r="E53" s="184"/>
      <x:c r="F53" s="184"/>
      <x:c r="G53" s="184"/>
      <x:c r="H53" s="184"/>
      <x:c r="I53" s="184"/>
      <x:c r="J53" s="184"/>
      <x:c r="K53" s="204"/>
      <x:c r="L53" s="3"/>
    </x:row>
    <x:row r="54">
      <x:c r="A54" s="3"/>
      <x:c r="B54" s="203"/>
      <x:c r="C54" s="184"/>
      <x:c r="D54" s="184"/>
      <x:c r="E54" s="184"/>
      <x:c r="F54" s="184"/>
      <x:c r="G54" s="184"/>
      <x:c r="H54" s="184"/>
      <x:c r="I54" s="184"/>
      <x:c r="J54" s="184"/>
      <x:c r="K54" s="204"/>
      <x:c r="L54" s="3"/>
    </x:row>
    <x:row r="55">
      <x:c r="A55" s="3"/>
      <x:c r="B55" s="203"/>
      <x:c r="C55" s="184"/>
      <x:c r="D55" s="184"/>
      <x:c r="E55" s="184"/>
      <x:c r="F55" s="184"/>
      <x:c r="G55" s="184"/>
      <x:c r="H55" s="184"/>
      <x:c r="I55" s="184"/>
      <x:c r="J55" s="184"/>
      <x:c r="K55" s="204"/>
      <x:c r="L55" s="3"/>
    </x:row>
    <x:row r="56">
      <x:c r="A56" s="3"/>
      <x:c r="B56" s="203"/>
      <x:c r="C56" s="184"/>
      <x:c r="D56" s="184"/>
      <x:c r="E56" s="184"/>
      <x:c r="F56" s="184"/>
      <x:c r="G56" s="184"/>
      <x:c r="H56" s="184"/>
      <x:c r="I56" s="184"/>
      <x:c r="J56" s="184"/>
      <x:c r="K56" s="204"/>
      <x:c r="L56" s="3"/>
    </x:row>
    <x:row r="57">
      <x:c r="A57" s="3"/>
      <x:c r="B57" s="203"/>
      <x:c r="C57" s="184"/>
      <x:c r="D57" s="184"/>
      <x:c r="E57" s="184"/>
      <x:c r="F57" s="184"/>
      <x:c r="G57" s="184"/>
      <x:c r="H57" s="184"/>
      <x:c r="I57" s="184"/>
      <x:c r="J57" s="184"/>
      <x:c r="K57" s="204"/>
      <x:c r="L57" s="3"/>
    </x:row>
    <x:row r="58">
      <x:c r="A58" s="3"/>
      <x:c r="B58" s="203"/>
      <x:c r="C58" s="184"/>
      <x:c r="D58" s="184"/>
      <x:c r="E58" s="184"/>
      <x:c r="F58" s="184"/>
      <x:c r="G58" s="184"/>
      <x:c r="H58" s="184"/>
      <x:c r="I58" s="184"/>
      <x:c r="J58" s="184"/>
      <x:c r="K58" s="204"/>
      <x:c r="L58" s="3"/>
    </x:row>
    <x:row r="59">
      <x:c r="A59" s="3"/>
      <x:c r="B59" s="203"/>
      <x:c r="C59" s="184"/>
      <x:c r="D59" s="184"/>
      <x:c r="E59" s="184"/>
      <x:c r="F59" s="184"/>
      <x:c r="G59" s="184"/>
      <x:c r="H59" s="184"/>
      <x:c r="I59" s="184"/>
      <x:c r="J59" s="184"/>
      <x:c r="K59" s="204"/>
      <x:c r="L59" s="3"/>
    </x:row>
    <x:row r="60">
      <x:c r="A60" s="3"/>
      <x:c r="B60" s="203"/>
      <x:c r="C60" s="184"/>
      <x:c r="D60" s="184"/>
      <x:c r="E60" s="184"/>
      <x:c r="F60" s="184"/>
      <x:c r="G60" s="184"/>
      <x:c r="H60" s="184"/>
      <x:c r="I60" s="184"/>
      <x:c r="J60" s="184"/>
      <x:c r="K60" s="204"/>
      <x:c r="L60" s="3"/>
    </x:row>
    <x:row r="61">
      <x:c r="A61" s="3"/>
      <x:c r="B61" s="203"/>
      <x:c r="C61" s="184"/>
      <x:c r="D61" s="184"/>
      <x:c r="E61" s="184"/>
      <x:c r="F61" s="184"/>
      <x:c r="G61" s="184"/>
      <x:c r="H61" s="184"/>
      <x:c r="I61" s="184"/>
      <x:c r="J61" s="184"/>
      <x:c r="K61" s="204"/>
      <x:c r="L61" s="3"/>
    </x:row>
    <x:row r="62">
      <x:c r="A62" s="3"/>
      <x:c r="B62" s="203"/>
      <x:c r="C62" s="184"/>
      <x:c r="D62" s="184"/>
      <x:c r="E62" s="184"/>
      <x:c r="F62" s="184"/>
      <x:c r="G62" s="184"/>
      <x:c r="H62" s="184"/>
      <x:c r="I62" s="184"/>
      <x:c r="J62" s="184"/>
      <x:c r="K62" s="204"/>
      <x:c r="L62" s="3"/>
    </x:row>
    <x:row r="63">
      <x:c r="A63" s="3"/>
      <x:c r="B63" s="203"/>
      <x:c r="C63" s="184"/>
      <x:c r="D63" s="184"/>
      <x:c r="E63" s="184"/>
      <x:c r="F63" s="184"/>
      <x:c r="G63" s="184"/>
      <x:c r="H63" s="184"/>
      <x:c r="I63" s="184"/>
      <x:c r="J63" s="184"/>
      <x:c r="K63" s="204"/>
      <x:c r="L63" s="3"/>
    </x:row>
    <x:row r="64">
      <x:c r="A64" s="3"/>
      <x:c r="B64" s="203"/>
      <x:c r="C64" s="184"/>
      <x:c r="D64" s="184"/>
      <x:c r="E64" s="184"/>
      <x:c r="F64" s="184"/>
      <x:c r="G64" s="184"/>
      <x:c r="H64" s="184"/>
      <x:c r="I64" s="184"/>
      <x:c r="J64" s="184"/>
      <x:c r="K64" s="204"/>
      <x:c r="L64" s="3"/>
    </x:row>
    <x:row r="65">
      <x:c r="A65" s="3"/>
      <x:c r="B65" s="203"/>
      <x:c r="C65" s="184"/>
      <x:c r="D65" s="184"/>
      <x:c r="E65" s="184"/>
      <x:c r="F65" s="184"/>
      <x:c r="G65" s="184"/>
      <x:c r="H65" s="184"/>
      <x:c r="I65" s="184"/>
      <x:c r="J65" s="184"/>
      <x:c r="K65" s="204"/>
      <x:c r="L65" s="3"/>
    </x:row>
    <x:row r="66">
      <x:c r="A66" s="3"/>
      <x:c r="B66" s="203"/>
      <x:c r="C66" s="184"/>
      <x:c r="D66" s="184"/>
      <x:c r="E66" s="184"/>
      <x:c r="F66" s="184"/>
      <x:c r="G66" s="184"/>
      <x:c r="H66" s="184"/>
      <x:c r="I66" s="184"/>
      <x:c r="J66" s="184"/>
      <x:c r="K66" s="204"/>
      <x:c r="L66" s="3"/>
    </x:row>
    <x:row r="67">
      <x:c r="A67" s="3"/>
      <x:c r="B67" s="203"/>
      <x:c r="C67" s="184"/>
      <x:c r="D67" s="184"/>
      <x:c r="E67" s="184"/>
      <x:c r="F67" s="184"/>
      <x:c r="G67" s="184"/>
      <x:c r="H67" s="184"/>
      <x:c r="I67" s="184"/>
      <x:c r="J67" s="184"/>
      <x:c r="K67" s="204"/>
      <x:c r="L67" s="3"/>
    </x:row>
    <x:row r="68">
      <x:c r="A68" s="3"/>
      <x:c r="B68" s="203"/>
      <x:c r="C68" s="184"/>
      <x:c r="D68" s="184"/>
      <x:c r="E68" s="184"/>
      <x:c r="F68" s="184"/>
      <x:c r="G68" s="184"/>
      <x:c r="H68" s="184"/>
      <x:c r="I68" s="184"/>
      <x:c r="J68" s="184"/>
      <x:c r="K68" s="204"/>
      <x:c r="L68" s="3"/>
    </x:row>
    <x:row r="69">
      <x:c r="A69" s="3"/>
      <x:c r="B69" s="203"/>
      <x:c r="C69" s="184"/>
      <x:c r="D69" s="184"/>
      <x:c r="E69" s="184"/>
      <x:c r="F69" s="184"/>
      <x:c r="G69" s="184"/>
      <x:c r="H69" s="184"/>
      <x:c r="I69" s="184"/>
      <x:c r="J69" s="184"/>
      <x:c r="K69" s="204"/>
      <x:c r="L69" s="3"/>
    </x:row>
    <x:row r="70">
      <x:c r="A70" s="3"/>
      <x:c r="B70" s="211"/>
      <x:c r="C70" s="212"/>
      <x:c r="D70" s="212"/>
      <x:c r="E70" s="212"/>
      <x:c r="F70" s="212"/>
      <x:c r="G70" s="212"/>
      <x:c r="H70" s="212"/>
      <x:c r="I70" s="212"/>
      <x:c r="J70" s="212"/>
      <x:c r="K70" s="21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mergeCells>
    <x:mergeCell ref="B2:K2"/>
    <x:mergeCell ref="B3:K3"/>
    <x:mergeCell ref="B4:K4"/>
    <x:mergeCell ref="B6:H6"/>
    <x:mergeCell ref="B19:H19"/>
    <x:mergeCell ref="J6:K6"/>
  </x:mergeCells>
  <x:conditionalFormatting sqref="E21:E33">
    <x:cfRule type="dataBar" priority="1">
      <x:dataBar>
        <x:cfvo type="min"/>
        <x:cfvo type="max"/>
        <x:color rgb="FFC96243"/>
      </x:dataBar>
      <x:extLst>
        <x:ext xmlns:x14="http://schemas.microsoft.com/office/spreadsheetml/2009/9/main" uri="{B025F937-C7B1-47D3-B67F-A62EFF666E3E}">
          <x14:id>{C24DF416-BB54-E1A6-534A-363FFD332C77}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24DF416-BB54-E1A6-534A-363FFD332C77}">
            <x14:dataBar gradient="1">
              <x14:cfvo type="min"/>
              <x14:cfvo type="max"/>
              <x14:fillColor rgb="FFC96243"/>
            </x14:dataBar>
          </x14:cfRule>
          <xm:sqref>E21:E33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18.889999389648438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8.889999389648438" hidden="0" customWidth="1"/>
    <x:col min="9" max="9" width="20" hidden="0" customWidth="1"/>
    <x:col min="10" max="10" width="24.440000534057617" hidden="0" customWidth="1"/>
    <x:col min="11" max="11" width="20" hidden="0" customWidth="1"/>
    <x:col min="12" max="12" width="1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169" t="str">
        <x:v>Action Plan</x:v>
      </x:c>
      <x:c r="C2" s="170" t="str"/>
      <x:c r="D2" s="170" t="str"/>
      <x:c r="E2" s="170" t="str"/>
      <x:c r="F2" s="170" t="str"/>
      <x:c r="G2" s="170" t="str"/>
      <x:c r="H2" s="170" t="str"/>
      <x:c r="I2" s="170" t="str"/>
      <x:c r="J2" s="170" t="str"/>
      <x:c r="K2" s="171" t="str"/>
      <x:c r="L2" s="3"/>
    </x:row>
    <x:row r="3">
      <x:c r="A3" s="3"/>
      <x:c r="B3" s="172" t="str">
        <x:v>Turn the audit into a simple next-payday plan.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173" t="str"/>
      <x:c r="L3" s="3"/>
    </x:row>
    <x:row r="4">
      <x:c r="A4" s="3"/>
      <x:c r="B4" s="174" t="str">
        <x:v>Purpose: leave with one move, not a pile of guilt.</x:v>
      </x:c>
      <x:c r="C4" s="175" t="str"/>
      <x:c r="D4" s="175" t="str"/>
      <x:c r="E4" s="175" t="str"/>
      <x:c r="F4" s="175" t="str"/>
      <x:c r="G4" s="175" t="str"/>
      <x:c r="H4" s="175" t="str"/>
      <x:c r="I4" s="175" t="str"/>
      <x:c r="J4" s="175" t="str"/>
      <x:c r="K4" s="176" t="str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198" t="str">
        <x:v>Your next payday plan</x:v>
      </x:c>
      <x:c r="C6" s="199" t="str">
        <x:v>Your next payday plan</x:v>
      </x:c>
      <x:c r="D6" s="199" t="str">
        <x:v>Your next payday plan</x:v>
      </x:c>
      <x:c r="E6" s="199" t="str">
        <x:v>Your next payday plan</x:v>
      </x:c>
      <x:c r="F6" s="199" t="str">
        <x:v>Your next payday plan</x:v>
      </x:c>
      <x:c r="G6" s="199" t="str">
        <x:v>Your next payday plan</x:v>
      </x:c>
      <x:c r="H6" s="199" t="str">
        <x:v>Your next payday plan</x:v>
      </x:c>
      <x:c r="I6" s="199" t="str">
        <x:v>Your next payday plan</x:v>
      </x:c>
      <x:c r="J6" s="199" t="str">
        <x:v>Your next payday plan</x:v>
      </x:c>
      <x:c r="K6" s="200" t="str">
        <x:v>Your next payday plan</x:v>
      </x:c>
      <x:c r="L6" s="3"/>
    </x:row>
    <x:row r="7">
      <x:c r="A7" s="3"/>
      <x:c r="B7" s="240" t="str">
        <x:v>Question</x:v>
      </x:c>
      <x:c r="C7" s="229" t="str">
        <x:v>Answer</x:v>
      </x:c>
      <x:c r="D7" s="229"/>
      <x:c r="E7" s="229"/>
      <x:c r="F7" s="229"/>
      <x:c r="G7" s="229"/>
      <x:c r="H7" s="229"/>
      <x:c r="I7" s="229"/>
      <x:c r="J7" s="229"/>
      <x:c r="K7" s="266"/>
      <x:c r="L7" s="3"/>
    </x:row>
    <x:row r="8">
      <x:c r="A8" s="3"/>
      <x:c r="B8" s="241" t="str">
        <x:v>What is the first money leak to fix?</x:v>
      </x:c>
      <x:c r="C8" s="260" t="str"/>
      <x:c r="D8" s="260"/>
      <x:c r="E8" s="260"/>
      <x:c r="F8" s="260"/>
      <x:c r="G8" s="260"/>
      <x:c r="H8" s="260"/>
      <x:c r="I8" s="260"/>
      <x:c r="J8" s="260"/>
      <x:c r="K8" s="267"/>
      <x:c r="L8" s="3"/>
    </x:row>
    <x:row r="9">
      <x:c r="A9" s="3"/>
      <x:c r="B9" s="241" t="str">
        <x:v>What bill timing issue should I solve?</x:v>
      </x:c>
      <x:c r="C9" s="260" t="str"/>
      <x:c r="D9" s="260"/>
      <x:c r="E9" s="260"/>
      <x:c r="F9" s="260"/>
      <x:c r="G9" s="260"/>
      <x:c r="H9" s="260"/>
      <x:c r="I9" s="260"/>
      <x:c r="J9" s="260"/>
      <x:c r="K9" s="267"/>
      <x:c r="L9" s="3"/>
    </x:row>
    <x:row r="10">
      <x:c r="A10" s="3"/>
      <x:c r="B10" s="241" t="str">
        <x:v>What subscription will I cut, pause, or justify?</x:v>
      </x:c>
      <x:c r="C10" s="260" t="str"/>
      <x:c r="D10" s="260"/>
      <x:c r="E10" s="260"/>
      <x:c r="F10" s="260"/>
      <x:c r="G10" s="260"/>
      <x:c r="H10" s="260"/>
      <x:c r="I10" s="260"/>
      <x:c r="J10" s="260"/>
      <x:c r="K10" s="267"/>
      <x:c r="L10" s="3"/>
    </x:row>
    <x:row r="11">
      <x:c r="A11" s="3"/>
      <x:c r="B11" s="241" t="str">
        <x:v>How much will I move to savings next payday?</x:v>
      </x:c>
      <x:c r="C11" s="260" t="str"/>
      <x:c r="D11" s="260"/>
      <x:c r="E11" s="260"/>
      <x:c r="F11" s="260"/>
      <x:c r="G11" s="260"/>
      <x:c r="H11" s="260"/>
      <x:c r="I11" s="260"/>
      <x:c r="J11" s="260"/>
      <x:c r="K11" s="267"/>
      <x:c r="L11" s="3"/>
    </x:row>
    <x:row r="12">
      <x:c r="A12" s="3"/>
      <x:c r="B12" s="241" t="str">
        <x:v>What debt gets extra money only after bills and savings are covered?</x:v>
      </x:c>
      <x:c r="C12" s="260" t="str"/>
      <x:c r="D12" s="260"/>
      <x:c r="E12" s="260"/>
      <x:c r="F12" s="260"/>
      <x:c r="G12" s="260"/>
      <x:c r="H12" s="260"/>
      <x:c r="I12" s="260"/>
      <x:c r="J12" s="260"/>
      <x:c r="K12" s="267"/>
      <x:c r="L12" s="3"/>
    </x:row>
    <x:row r="13">
      <x:c r="A13" s="3"/>
      <x:c r="B13" s="241" t="str">
        <x:v>What is my true flex cash boundary?</x:v>
      </x:c>
      <x:c r="C13" s="260" t="str"/>
      <x:c r="D13" s="260"/>
      <x:c r="E13" s="260"/>
      <x:c r="F13" s="260"/>
      <x:c r="G13" s="260"/>
      <x:c r="H13" s="260"/>
      <x:c r="I13" s="260"/>
      <x:c r="J13" s="260"/>
      <x:c r="K13" s="267"/>
      <x:c r="L13" s="3"/>
    </x:row>
    <x:row r="14">
      <x:c r="A14" s="3"/>
      <x:c r="B14" s="241" t="str">
        <x:v>When is my next 20-minute money meeting?</x:v>
      </x:c>
      <x:c r="C14" s="260" t="str"/>
      <x:c r="D14" s="260"/>
      <x:c r="E14" s="260"/>
      <x:c r="F14" s="260"/>
      <x:c r="G14" s="260"/>
      <x:c r="H14" s="260"/>
      <x:c r="I14" s="260"/>
      <x:c r="J14" s="260"/>
      <x:c r="K14" s="267"/>
      <x:c r="L14" s="3"/>
    </x:row>
    <x:row r="15">
      <x:c r="A15" s="3"/>
      <x:c r="B15" s="203"/>
      <x:c r="C15" s="184"/>
      <x:c r="D15" s="184"/>
      <x:c r="E15" s="184"/>
      <x:c r="F15" s="184"/>
      <x:c r="G15" s="184"/>
      <x:c r="H15" s="184"/>
      <x:c r="I15" s="184"/>
      <x:c r="J15" s="184"/>
      <x:c r="K15" s="204"/>
      <x:c r="L15" s="3"/>
    </x:row>
    <x:row r="16">
      <x:c r="A16" s="3"/>
      <x:c r="B16" s="203"/>
      <x:c r="C16" s="184"/>
      <x:c r="D16" s="184"/>
      <x:c r="E16" s="184"/>
      <x:c r="F16" s="184"/>
      <x:c r="G16" s="184"/>
      <x:c r="H16" s="184"/>
      <x:c r="I16" s="184"/>
      <x:c r="J16" s="184"/>
      <x:c r="K16" s="204"/>
      <x:c r="L16" s="3"/>
    </x:row>
    <x:row r="17">
      <x:c r="A17" s="3"/>
      <x:c r="B17" s="205" t="str">
        <x:v>Suggested first move</x:v>
      </x:c>
      <x:c r="C17" s="187" t="str">
        <x:v>Suggested first move</x:v>
      </x:c>
      <x:c r="D17" s="187" t="str">
        <x:v>Suggested first move</x:v>
      </x:c>
      <x:c r="E17" s="187" t="str">
        <x:v>Suggested first move</x:v>
      </x:c>
      <x:c r="F17" s="187" t="str">
        <x:v>Suggested first move</x:v>
      </x:c>
      <x:c r="G17" s="187" t="str">
        <x:v>Suggested first move</x:v>
      </x:c>
      <x:c r="H17" s="187" t="str">
        <x:v>Suggested first move</x:v>
      </x:c>
      <x:c r="I17" s="187" t="str">
        <x:v>Suggested first move</x:v>
      </x:c>
      <x:c r="J17" s="187" t="str">
        <x:v>Suggested first move</x:v>
      </x:c>
      <x:c r="K17" s="206" t="str">
        <x:v>Suggested first move</x:v>
      </x:c>
      <x:c r="L17" s="3"/>
    </x:row>
    <x:row r="18">
      <x:c r="A18" s="3"/>
      <x:c r="B18" s="268" t="str">
        <x:f>'Paycheck Map'!G13</x:f>
        <x:v>Cut or reschedule $428</x:v>
      </x:c>
      <x:c r="C18" s="263" t="str"/>
      <x:c r="D18" s="263" t="str"/>
      <x:c r="E18" s="263" t="str"/>
      <x:c r="F18" s="263" t="str"/>
      <x:c r="G18" s="263" t="str"/>
      <x:c r="H18" s="263" t="str"/>
      <x:c r="I18" s="263" t="str"/>
      <x:c r="J18" s="263" t="str"/>
      <x:c r="K18" s="269" t="str"/>
      <x:c r="L18" s="3"/>
    </x:row>
    <x:row r="19">
      <x:c r="A19" s="3"/>
      <x:c r="B19" s="247" t="str">
        <x:v>Use this as your one action before the next paycheck. Small, clean moves beat ambitious plans you never open again.</x:v>
      </x:c>
      <x:c r="C19" s="190" t="str"/>
      <x:c r="D19" s="190" t="str"/>
      <x:c r="E19" s="190" t="str"/>
      <x:c r="F19" s="190" t="str"/>
      <x:c r="G19" s="190" t="str"/>
      <x:c r="H19" s="190" t="str"/>
      <x:c r="I19" s="190" t="str"/>
      <x:c r="J19" s="190" t="str"/>
      <x:c r="K19" s="208" t="str"/>
      <x:c r="L19" s="3"/>
    </x:row>
    <x:row r="20">
      <x:c r="A20" s="3"/>
      <x:c r="B20" s="203"/>
      <x:c r="C20" s="184"/>
      <x:c r="D20" s="184"/>
      <x:c r="E20" s="184"/>
      <x:c r="F20" s="184"/>
      <x:c r="G20" s="184"/>
      <x:c r="H20" s="184"/>
      <x:c r="I20" s="184"/>
      <x:c r="J20" s="184"/>
      <x:c r="K20" s="204"/>
      <x:c r="L20" s="3"/>
    </x:row>
    <x:row r="21">
      <x:c r="A21" s="3"/>
      <x:c r="B21" s="203"/>
      <x:c r="C21" s="184"/>
      <x:c r="D21" s="184"/>
      <x:c r="E21" s="184"/>
      <x:c r="F21" s="184"/>
      <x:c r="G21" s="184"/>
      <x:c r="H21" s="184"/>
      <x:c r="I21" s="184"/>
      <x:c r="J21" s="184"/>
      <x:c r="K21" s="204"/>
      <x:c r="L21" s="3"/>
    </x:row>
    <x:row r="22">
      <x:c r="A22" s="3"/>
      <x:c r="B22" s="205" t="str">
        <x:v>The 20-minute monthly rhythm</x:v>
      </x:c>
      <x:c r="C22" s="187" t="str">
        <x:v>The 20-minute monthly rhythm</x:v>
      </x:c>
      <x:c r="D22" s="187" t="str">
        <x:v>The 20-minute monthly rhythm</x:v>
      </x:c>
      <x:c r="E22" s="187" t="str">
        <x:v>The 20-minute monthly rhythm</x:v>
      </x:c>
      <x:c r="F22" s="187" t="str">
        <x:v>The 20-minute monthly rhythm</x:v>
      </x:c>
      <x:c r="G22" s="187" t="str">
        <x:v>The 20-minute monthly rhythm</x:v>
      </x:c>
      <x:c r="H22" s="187" t="str">
        <x:v>The 20-minute monthly rhythm</x:v>
      </x:c>
      <x:c r="I22" s="187" t="str">
        <x:v>The 20-minute monthly rhythm</x:v>
      </x:c>
      <x:c r="J22" s="187" t="str">
        <x:v>The 20-minute monthly rhythm</x:v>
      </x:c>
      <x:c r="K22" s="206" t="str">
        <x:v>The 20-minute monthly rhythm</x:v>
      </x:c>
      <x:c r="L22" s="3"/>
    </x:row>
    <x:row r="23">
      <x:c r="A23" s="3"/>
      <x:c r="B23" s="270" t="str">
        <x:v>1</x:v>
      </x:c>
      <x:c r="C23" s="193" t="str">
        <x:v>Update the Paycheck Map numbers.</x:v>
      </x:c>
      <x:c r="D23" s="193" t="str"/>
      <x:c r="E23" s="193" t="str"/>
      <x:c r="F23" s="193" t="str"/>
      <x:c r="G23" s="193" t="str"/>
      <x:c r="H23" s="193" t="str"/>
      <x:c r="I23" s="193" t="str"/>
      <x:c r="J23" s="193" t="str"/>
      <x:c r="K23" s="210" t="str"/>
      <x:c r="L23" s="3"/>
    </x:row>
    <x:row r="24">
      <x:c r="A24" s="3"/>
      <x:c r="B24" s="270" t="str">
        <x:v>2</x:v>
      </x:c>
      <x:c r="C24" s="193" t="str">
        <x:v>Check bills due before each paycheck.</x:v>
      </x:c>
      <x:c r="D24" s="193" t="str"/>
      <x:c r="E24" s="193" t="str"/>
      <x:c r="F24" s="193" t="str"/>
      <x:c r="G24" s="193" t="str"/>
      <x:c r="H24" s="193" t="str"/>
      <x:c r="I24" s="193" t="str"/>
      <x:c r="J24" s="193" t="str"/>
      <x:c r="K24" s="210" t="str"/>
      <x:c r="L24" s="3"/>
    </x:row>
    <x:row r="25">
      <x:c r="A25" s="3"/>
      <x:c r="B25" s="270" t="str">
        <x:v>3</x:v>
      </x:c>
      <x:c r="C25" s="193" t="str">
        <x:v>Review subscriptions and debt pressure.</x:v>
      </x:c>
      <x:c r="D25" s="193" t="str"/>
      <x:c r="E25" s="193" t="str"/>
      <x:c r="F25" s="193" t="str"/>
      <x:c r="G25" s="193" t="str"/>
      <x:c r="H25" s="193" t="str"/>
      <x:c r="I25" s="193" t="str"/>
      <x:c r="J25" s="193" t="str"/>
      <x:c r="K25" s="210" t="str"/>
      <x:c r="L25" s="3"/>
    </x:row>
    <x:row r="26">
      <x:c r="A26" s="3"/>
      <x:c r="B26" s="270" t="str">
        <x:v>4</x:v>
      </x:c>
      <x:c r="C26" s="193" t="str">
        <x:v>Pick one money leak to fix.</x:v>
      </x:c>
      <x:c r="D26" s="193" t="str"/>
      <x:c r="E26" s="193" t="str"/>
      <x:c r="F26" s="193" t="str"/>
      <x:c r="G26" s="193" t="str"/>
      <x:c r="H26" s="193" t="str"/>
      <x:c r="I26" s="193" t="str"/>
      <x:c r="J26" s="193" t="str"/>
      <x:c r="K26" s="210" t="str"/>
      <x:c r="L26" s="3"/>
    </x:row>
    <x:row r="27">
      <x:c r="A27" s="3"/>
      <x:c r="B27" s="270" t="str">
        <x:v>5</x:v>
      </x:c>
      <x:c r="C27" s="193" t="str">
        <x:v>Return to the dashboard and write the next move.</x:v>
      </x:c>
      <x:c r="D27" s="193" t="str"/>
      <x:c r="E27" s="193" t="str"/>
      <x:c r="F27" s="193" t="str"/>
      <x:c r="G27" s="193" t="str"/>
      <x:c r="H27" s="193" t="str"/>
      <x:c r="I27" s="193" t="str"/>
      <x:c r="J27" s="193" t="str"/>
      <x:c r="K27" s="210" t="str"/>
      <x:c r="L27" s="3"/>
    </x:row>
    <x:row r="28">
      <x:c r="A28" s="3"/>
      <x:c r="B28" s="203"/>
      <x:c r="C28" s="184"/>
      <x:c r="D28" s="184"/>
      <x:c r="E28" s="184"/>
      <x:c r="F28" s="184"/>
      <x:c r="G28" s="184"/>
      <x:c r="H28" s="184"/>
      <x:c r="I28" s="184"/>
      <x:c r="J28" s="184"/>
      <x:c r="K28" s="204"/>
      <x:c r="L28" s="3"/>
    </x:row>
    <x:row r="29">
      <x:c r="A29" s="3"/>
      <x:c r="B29" s="203"/>
      <x:c r="C29" s="184"/>
      <x:c r="D29" s="184"/>
      <x:c r="E29" s="184"/>
      <x:c r="F29" s="184"/>
      <x:c r="G29" s="184"/>
      <x:c r="H29" s="184"/>
      <x:c r="I29" s="184"/>
      <x:c r="J29" s="184"/>
      <x:c r="K29" s="204"/>
      <x:c r="L29" s="3"/>
    </x:row>
    <x:row r="30">
      <x:c r="A30" s="3"/>
      <x:c r="B30" s="203"/>
      <x:c r="C30" s="184"/>
      <x:c r="D30" s="184"/>
      <x:c r="E30" s="184"/>
      <x:c r="F30" s="184"/>
      <x:c r="G30" s="184"/>
      <x:c r="H30" s="184"/>
      <x:c r="I30" s="184"/>
      <x:c r="J30" s="184"/>
      <x:c r="K30" s="204"/>
      <x:c r="L30" s="3"/>
    </x:row>
    <x:row r="31">
      <x:c r="A31" s="3"/>
      <x:c r="B31" s="203"/>
      <x:c r="C31" s="184"/>
      <x:c r="D31" s="184"/>
      <x:c r="E31" s="184"/>
      <x:c r="F31" s="184"/>
      <x:c r="G31" s="184"/>
      <x:c r="H31" s="184"/>
      <x:c r="I31" s="184"/>
      <x:c r="J31" s="184"/>
      <x:c r="K31" s="204"/>
      <x:c r="L31" s="3"/>
    </x:row>
    <x:row r="32">
      <x:c r="A32" s="3"/>
      <x:c r="B32" s="203"/>
      <x:c r="C32" s="184"/>
      <x:c r="D32" s="184"/>
      <x:c r="E32" s="184"/>
      <x:c r="F32" s="184"/>
      <x:c r="G32" s="184"/>
      <x:c r="H32" s="184"/>
      <x:c r="I32" s="184"/>
      <x:c r="J32" s="184"/>
      <x:c r="K32" s="204"/>
      <x:c r="L32" s="3"/>
    </x:row>
    <x:row r="33">
      <x:c r="A33" s="3"/>
      <x:c r="B33" s="203"/>
      <x:c r="C33" s="184"/>
      <x:c r="D33" s="184"/>
      <x:c r="E33" s="184"/>
      <x:c r="F33" s="184"/>
      <x:c r="G33" s="184"/>
      <x:c r="H33" s="184"/>
      <x:c r="I33" s="184"/>
      <x:c r="J33" s="184"/>
      <x:c r="K33" s="204"/>
      <x:c r="L33" s="3"/>
    </x:row>
    <x:row r="34">
      <x:c r="A34" s="3"/>
      <x:c r="B34" s="203"/>
      <x:c r="C34" s="184"/>
      <x:c r="D34" s="184"/>
      <x:c r="E34" s="184"/>
      <x:c r="F34" s="184"/>
      <x:c r="G34" s="184"/>
      <x:c r="H34" s="184"/>
      <x:c r="I34" s="184"/>
      <x:c r="J34" s="184"/>
      <x:c r="K34" s="204"/>
      <x:c r="L34" s="3"/>
    </x:row>
    <x:row r="35">
      <x:c r="A35" s="3"/>
      <x:c r="B35" s="203"/>
      <x:c r="C35" s="184"/>
      <x:c r="D35" s="184"/>
      <x:c r="E35" s="184"/>
      <x:c r="F35" s="184"/>
      <x:c r="G35" s="184"/>
      <x:c r="H35" s="184"/>
      <x:c r="I35" s="184"/>
      <x:c r="J35" s="184"/>
      <x:c r="K35" s="204"/>
      <x:c r="L35" s="3"/>
    </x:row>
    <x:row r="36">
      <x:c r="A36" s="3"/>
      <x:c r="B36" s="203"/>
      <x:c r="C36" s="184"/>
      <x:c r="D36" s="184"/>
      <x:c r="E36" s="184"/>
      <x:c r="F36" s="184"/>
      <x:c r="G36" s="184"/>
      <x:c r="H36" s="184"/>
      <x:c r="I36" s="184"/>
      <x:c r="J36" s="184"/>
      <x:c r="K36" s="204"/>
      <x:c r="L36" s="3"/>
    </x:row>
    <x:row r="37">
      <x:c r="A37" s="3"/>
      <x:c r="B37" s="203"/>
      <x:c r="C37" s="184"/>
      <x:c r="D37" s="184"/>
      <x:c r="E37" s="184"/>
      <x:c r="F37" s="184"/>
      <x:c r="G37" s="184"/>
      <x:c r="H37" s="184"/>
      <x:c r="I37" s="184"/>
      <x:c r="J37" s="184"/>
      <x:c r="K37" s="204"/>
      <x:c r="L37" s="3"/>
    </x:row>
    <x:row r="38">
      <x:c r="A38" s="3"/>
      <x:c r="B38" s="203"/>
      <x:c r="C38" s="184"/>
      <x:c r="D38" s="184"/>
      <x:c r="E38" s="184"/>
      <x:c r="F38" s="184"/>
      <x:c r="G38" s="184"/>
      <x:c r="H38" s="184"/>
      <x:c r="I38" s="184"/>
      <x:c r="J38" s="184"/>
      <x:c r="K38" s="204"/>
      <x:c r="L38" s="3"/>
    </x:row>
    <x:row r="39">
      <x:c r="A39" s="3"/>
      <x:c r="B39" s="203"/>
      <x:c r="C39" s="184"/>
      <x:c r="D39" s="184"/>
      <x:c r="E39" s="184"/>
      <x:c r="F39" s="184"/>
      <x:c r="G39" s="184"/>
      <x:c r="H39" s="184"/>
      <x:c r="I39" s="184"/>
      <x:c r="J39" s="184"/>
      <x:c r="K39" s="204"/>
      <x:c r="L39" s="3"/>
    </x:row>
    <x:row r="40">
      <x:c r="A40" s="3"/>
      <x:c r="B40" s="203"/>
      <x:c r="C40" s="184"/>
      <x:c r="D40" s="184"/>
      <x:c r="E40" s="184"/>
      <x:c r="F40" s="184"/>
      <x:c r="G40" s="184"/>
      <x:c r="H40" s="184"/>
      <x:c r="I40" s="184"/>
      <x:c r="J40" s="184"/>
      <x:c r="K40" s="204"/>
      <x:c r="L40" s="3"/>
    </x:row>
    <x:row r="41">
      <x:c r="A41" s="3"/>
      <x:c r="B41" s="203"/>
      <x:c r="C41" s="184"/>
      <x:c r="D41" s="184"/>
      <x:c r="E41" s="184"/>
      <x:c r="F41" s="184"/>
      <x:c r="G41" s="184"/>
      <x:c r="H41" s="184"/>
      <x:c r="I41" s="184"/>
      <x:c r="J41" s="184"/>
      <x:c r="K41" s="204"/>
      <x:c r="L41" s="3"/>
    </x:row>
    <x:row r="42">
      <x:c r="A42" s="3"/>
      <x:c r="B42" s="203"/>
      <x:c r="C42" s="184"/>
      <x:c r="D42" s="184"/>
      <x:c r="E42" s="184"/>
      <x:c r="F42" s="184"/>
      <x:c r="G42" s="184"/>
      <x:c r="H42" s="184"/>
      <x:c r="I42" s="184"/>
      <x:c r="J42" s="184"/>
      <x:c r="K42" s="204"/>
      <x:c r="L42" s="3"/>
    </x:row>
    <x:row r="43">
      <x:c r="A43" s="3"/>
      <x:c r="B43" s="203"/>
      <x:c r="C43" s="184"/>
      <x:c r="D43" s="184"/>
      <x:c r="E43" s="184"/>
      <x:c r="F43" s="184"/>
      <x:c r="G43" s="184"/>
      <x:c r="H43" s="184"/>
      <x:c r="I43" s="184"/>
      <x:c r="J43" s="184"/>
      <x:c r="K43" s="204"/>
      <x:c r="L43" s="3"/>
    </x:row>
    <x:row r="44">
      <x:c r="A44" s="3"/>
      <x:c r="B44" s="203"/>
      <x:c r="C44" s="184"/>
      <x:c r="D44" s="184"/>
      <x:c r="E44" s="184"/>
      <x:c r="F44" s="184"/>
      <x:c r="G44" s="184"/>
      <x:c r="H44" s="184"/>
      <x:c r="I44" s="184"/>
      <x:c r="J44" s="184"/>
      <x:c r="K44" s="204"/>
      <x:c r="L44" s="3"/>
    </x:row>
    <x:row r="45">
      <x:c r="A45" s="3"/>
      <x:c r="B45" s="203"/>
      <x:c r="C45" s="184"/>
      <x:c r="D45" s="184"/>
      <x:c r="E45" s="184"/>
      <x:c r="F45" s="184"/>
      <x:c r="G45" s="184"/>
      <x:c r="H45" s="184"/>
      <x:c r="I45" s="184"/>
      <x:c r="J45" s="184"/>
      <x:c r="K45" s="204"/>
      <x:c r="L45" s="3"/>
    </x:row>
    <x:row r="46">
      <x:c r="A46" s="3"/>
      <x:c r="B46" s="203"/>
      <x:c r="C46" s="184"/>
      <x:c r="D46" s="184"/>
      <x:c r="E46" s="184"/>
      <x:c r="F46" s="184"/>
      <x:c r="G46" s="184"/>
      <x:c r="H46" s="184"/>
      <x:c r="I46" s="184"/>
      <x:c r="J46" s="184"/>
      <x:c r="K46" s="204"/>
      <x:c r="L46" s="3"/>
    </x:row>
    <x:row r="47">
      <x:c r="A47" s="3"/>
      <x:c r="B47" s="203"/>
      <x:c r="C47" s="184"/>
      <x:c r="D47" s="184"/>
      <x:c r="E47" s="184"/>
      <x:c r="F47" s="184"/>
      <x:c r="G47" s="184"/>
      <x:c r="H47" s="184"/>
      <x:c r="I47" s="184"/>
      <x:c r="J47" s="184"/>
      <x:c r="K47" s="204"/>
      <x:c r="L47" s="3"/>
    </x:row>
    <x:row r="48">
      <x:c r="A48" s="3"/>
      <x:c r="B48" s="203"/>
      <x:c r="C48" s="184"/>
      <x:c r="D48" s="184"/>
      <x:c r="E48" s="184"/>
      <x:c r="F48" s="184"/>
      <x:c r="G48" s="184"/>
      <x:c r="H48" s="184"/>
      <x:c r="I48" s="184"/>
      <x:c r="J48" s="184"/>
      <x:c r="K48" s="204"/>
      <x:c r="L48" s="3"/>
    </x:row>
    <x:row r="49">
      <x:c r="A49" s="3"/>
      <x:c r="B49" s="203"/>
      <x:c r="C49" s="184"/>
      <x:c r="D49" s="184"/>
      <x:c r="E49" s="184"/>
      <x:c r="F49" s="184"/>
      <x:c r="G49" s="184"/>
      <x:c r="H49" s="184"/>
      <x:c r="I49" s="184"/>
      <x:c r="J49" s="184"/>
      <x:c r="K49" s="204"/>
      <x:c r="L49" s="3"/>
    </x:row>
    <x:row r="50">
      <x:c r="A50" s="3"/>
      <x:c r="B50" s="203"/>
      <x:c r="C50" s="184"/>
      <x:c r="D50" s="184"/>
      <x:c r="E50" s="184"/>
      <x:c r="F50" s="184"/>
      <x:c r="G50" s="184"/>
      <x:c r="H50" s="184"/>
      <x:c r="I50" s="184"/>
      <x:c r="J50" s="184"/>
      <x:c r="K50" s="204"/>
      <x:c r="L50" s="3"/>
    </x:row>
    <x:row r="51">
      <x:c r="A51" s="3"/>
      <x:c r="B51" s="203"/>
      <x:c r="C51" s="184"/>
      <x:c r="D51" s="184"/>
      <x:c r="E51" s="184"/>
      <x:c r="F51" s="184"/>
      <x:c r="G51" s="184"/>
      <x:c r="H51" s="184"/>
      <x:c r="I51" s="184"/>
      <x:c r="J51" s="184"/>
      <x:c r="K51" s="204"/>
      <x:c r="L51" s="3"/>
    </x:row>
    <x:row r="52">
      <x:c r="A52" s="3"/>
      <x:c r="B52" s="203"/>
      <x:c r="C52" s="184"/>
      <x:c r="D52" s="184"/>
      <x:c r="E52" s="184"/>
      <x:c r="F52" s="184"/>
      <x:c r="G52" s="184"/>
      <x:c r="H52" s="184"/>
      <x:c r="I52" s="184"/>
      <x:c r="J52" s="184"/>
      <x:c r="K52" s="204"/>
      <x:c r="L52" s="3"/>
    </x:row>
    <x:row r="53">
      <x:c r="A53" s="3"/>
      <x:c r="B53" s="203"/>
      <x:c r="C53" s="184"/>
      <x:c r="D53" s="184"/>
      <x:c r="E53" s="184"/>
      <x:c r="F53" s="184"/>
      <x:c r="G53" s="184"/>
      <x:c r="H53" s="184"/>
      <x:c r="I53" s="184"/>
      <x:c r="J53" s="184"/>
      <x:c r="K53" s="204"/>
      <x:c r="L53" s="3"/>
    </x:row>
    <x:row r="54">
      <x:c r="A54" s="3"/>
      <x:c r="B54" s="203"/>
      <x:c r="C54" s="184"/>
      <x:c r="D54" s="184"/>
      <x:c r="E54" s="184"/>
      <x:c r="F54" s="184"/>
      <x:c r="G54" s="184"/>
      <x:c r="H54" s="184"/>
      <x:c r="I54" s="184"/>
      <x:c r="J54" s="184"/>
      <x:c r="K54" s="204"/>
      <x:c r="L54" s="3"/>
    </x:row>
    <x:row r="55">
      <x:c r="A55" s="3"/>
      <x:c r="B55" s="203"/>
      <x:c r="C55" s="184"/>
      <x:c r="D55" s="184"/>
      <x:c r="E55" s="184"/>
      <x:c r="F55" s="184"/>
      <x:c r="G55" s="184"/>
      <x:c r="H55" s="184"/>
      <x:c r="I55" s="184"/>
      <x:c r="J55" s="184"/>
      <x:c r="K55" s="204"/>
      <x:c r="L55" s="3"/>
    </x:row>
    <x:row r="56">
      <x:c r="A56" s="3"/>
      <x:c r="B56" s="203"/>
      <x:c r="C56" s="184"/>
      <x:c r="D56" s="184"/>
      <x:c r="E56" s="184"/>
      <x:c r="F56" s="184"/>
      <x:c r="G56" s="184"/>
      <x:c r="H56" s="184"/>
      <x:c r="I56" s="184"/>
      <x:c r="J56" s="184"/>
      <x:c r="K56" s="204"/>
      <x:c r="L56" s="3"/>
    </x:row>
    <x:row r="57">
      <x:c r="A57" s="3"/>
      <x:c r="B57" s="203"/>
      <x:c r="C57" s="184"/>
      <x:c r="D57" s="184"/>
      <x:c r="E57" s="184"/>
      <x:c r="F57" s="184"/>
      <x:c r="G57" s="184"/>
      <x:c r="H57" s="184"/>
      <x:c r="I57" s="184"/>
      <x:c r="J57" s="184"/>
      <x:c r="K57" s="204"/>
      <x:c r="L57" s="3"/>
    </x:row>
    <x:row r="58">
      <x:c r="A58" s="3"/>
      <x:c r="B58" s="203"/>
      <x:c r="C58" s="184"/>
      <x:c r="D58" s="184"/>
      <x:c r="E58" s="184"/>
      <x:c r="F58" s="184"/>
      <x:c r="G58" s="184"/>
      <x:c r="H58" s="184"/>
      <x:c r="I58" s="184"/>
      <x:c r="J58" s="184"/>
      <x:c r="K58" s="204"/>
      <x:c r="L58" s="3"/>
    </x:row>
    <x:row r="59">
      <x:c r="A59" s="3"/>
      <x:c r="B59" s="203"/>
      <x:c r="C59" s="184"/>
      <x:c r="D59" s="184"/>
      <x:c r="E59" s="184"/>
      <x:c r="F59" s="184"/>
      <x:c r="G59" s="184"/>
      <x:c r="H59" s="184"/>
      <x:c r="I59" s="184"/>
      <x:c r="J59" s="184"/>
      <x:c r="K59" s="204"/>
      <x:c r="L59" s="3"/>
    </x:row>
    <x:row r="60">
      <x:c r="A60" s="3"/>
      <x:c r="B60" s="203"/>
      <x:c r="C60" s="184"/>
      <x:c r="D60" s="184"/>
      <x:c r="E60" s="184"/>
      <x:c r="F60" s="184"/>
      <x:c r="G60" s="184"/>
      <x:c r="H60" s="184"/>
      <x:c r="I60" s="184"/>
      <x:c r="J60" s="184"/>
      <x:c r="K60" s="204"/>
      <x:c r="L60" s="3"/>
    </x:row>
    <x:row r="61">
      <x:c r="A61" s="3"/>
      <x:c r="B61" s="203"/>
      <x:c r="C61" s="184"/>
      <x:c r="D61" s="184"/>
      <x:c r="E61" s="184"/>
      <x:c r="F61" s="184"/>
      <x:c r="G61" s="184"/>
      <x:c r="H61" s="184"/>
      <x:c r="I61" s="184"/>
      <x:c r="J61" s="184"/>
      <x:c r="K61" s="204"/>
      <x:c r="L61" s="3"/>
    </x:row>
    <x:row r="62">
      <x:c r="A62" s="3"/>
      <x:c r="B62" s="203"/>
      <x:c r="C62" s="184"/>
      <x:c r="D62" s="184"/>
      <x:c r="E62" s="184"/>
      <x:c r="F62" s="184"/>
      <x:c r="G62" s="184"/>
      <x:c r="H62" s="184"/>
      <x:c r="I62" s="184"/>
      <x:c r="J62" s="184"/>
      <x:c r="K62" s="204"/>
      <x:c r="L62" s="3"/>
    </x:row>
    <x:row r="63">
      <x:c r="A63" s="3"/>
      <x:c r="B63" s="203"/>
      <x:c r="C63" s="184"/>
      <x:c r="D63" s="184"/>
      <x:c r="E63" s="184"/>
      <x:c r="F63" s="184"/>
      <x:c r="G63" s="184"/>
      <x:c r="H63" s="184"/>
      <x:c r="I63" s="184"/>
      <x:c r="J63" s="184"/>
      <x:c r="K63" s="204"/>
      <x:c r="L63" s="3"/>
    </x:row>
    <x:row r="64">
      <x:c r="A64" s="3"/>
      <x:c r="B64" s="203"/>
      <x:c r="C64" s="184"/>
      <x:c r="D64" s="184"/>
      <x:c r="E64" s="184"/>
      <x:c r="F64" s="184"/>
      <x:c r="G64" s="184"/>
      <x:c r="H64" s="184"/>
      <x:c r="I64" s="184"/>
      <x:c r="J64" s="184"/>
      <x:c r="K64" s="204"/>
      <x:c r="L64" s="3"/>
    </x:row>
    <x:row r="65">
      <x:c r="A65" s="3"/>
      <x:c r="B65" s="203"/>
      <x:c r="C65" s="184"/>
      <x:c r="D65" s="184"/>
      <x:c r="E65" s="184"/>
      <x:c r="F65" s="184"/>
      <x:c r="G65" s="184"/>
      <x:c r="H65" s="184"/>
      <x:c r="I65" s="184"/>
      <x:c r="J65" s="184"/>
      <x:c r="K65" s="204"/>
      <x:c r="L65" s="3"/>
    </x:row>
    <x:row r="66">
      <x:c r="A66" s="3"/>
      <x:c r="B66" s="203"/>
      <x:c r="C66" s="184"/>
      <x:c r="D66" s="184"/>
      <x:c r="E66" s="184"/>
      <x:c r="F66" s="184"/>
      <x:c r="G66" s="184"/>
      <x:c r="H66" s="184"/>
      <x:c r="I66" s="184"/>
      <x:c r="J66" s="184"/>
      <x:c r="K66" s="204"/>
      <x:c r="L66" s="3"/>
    </x:row>
    <x:row r="67">
      <x:c r="A67" s="3"/>
      <x:c r="B67" s="203"/>
      <x:c r="C67" s="184"/>
      <x:c r="D67" s="184"/>
      <x:c r="E67" s="184"/>
      <x:c r="F67" s="184"/>
      <x:c r="G67" s="184"/>
      <x:c r="H67" s="184"/>
      <x:c r="I67" s="184"/>
      <x:c r="J67" s="184"/>
      <x:c r="K67" s="204"/>
      <x:c r="L67" s="3"/>
    </x:row>
    <x:row r="68">
      <x:c r="A68" s="3"/>
      <x:c r="B68" s="203"/>
      <x:c r="C68" s="184"/>
      <x:c r="D68" s="184"/>
      <x:c r="E68" s="184"/>
      <x:c r="F68" s="184"/>
      <x:c r="G68" s="184"/>
      <x:c r="H68" s="184"/>
      <x:c r="I68" s="184"/>
      <x:c r="J68" s="184"/>
      <x:c r="K68" s="204"/>
      <x:c r="L68" s="3"/>
    </x:row>
    <x:row r="69">
      <x:c r="A69" s="3"/>
      <x:c r="B69" s="203"/>
      <x:c r="C69" s="184"/>
      <x:c r="D69" s="184"/>
      <x:c r="E69" s="184"/>
      <x:c r="F69" s="184"/>
      <x:c r="G69" s="184"/>
      <x:c r="H69" s="184"/>
      <x:c r="I69" s="184"/>
      <x:c r="J69" s="184"/>
      <x:c r="K69" s="204"/>
      <x:c r="L69" s="3"/>
    </x:row>
    <x:row r="70">
      <x:c r="A70" s="3"/>
      <x:c r="B70" s="211"/>
      <x:c r="C70" s="212"/>
      <x:c r="D70" s="212"/>
      <x:c r="E70" s="212"/>
      <x:c r="F70" s="212"/>
      <x:c r="G70" s="212"/>
      <x:c r="H70" s="212"/>
      <x:c r="I70" s="212"/>
      <x:c r="J70" s="212"/>
      <x:c r="K70" s="21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mergeCells>
    <x:mergeCell ref="B2:K2"/>
    <x:mergeCell ref="B3:K3"/>
    <x:mergeCell ref="B4:K4"/>
    <x:mergeCell ref="B6:K6"/>
    <x:mergeCell ref="C7:K7"/>
    <x:mergeCell ref="C8:K8"/>
    <x:mergeCell ref="C9:K9"/>
    <x:mergeCell ref="C10:K10"/>
    <x:mergeCell ref="C11:K11"/>
    <x:mergeCell ref="C12:K12"/>
    <x:mergeCell ref="C13:K13"/>
    <x:mergeCell ref="C14:K14"/>
    <x:mergeCell ref="B17:K17"/>
    <x:mergeCell ref="B18:K18"/>
    <x:mergeCell ref="B19:K19"/>
    <x:mergeCell ref="B22:K22"/>
    <x:mergeCell ref="C23:K23"/>
    <x:mergeCell ref="C24:K24"/>
    <x:mergeCell ref="C25:K25"/>
    <x:mergeCell ref="C26:K26"/>
    <x:mergeCell ref="C27:K27"/>
  </x:mergeCells>
  <x:pageMargins left="0.7" right="0.7" top="0.75" bottom="0.75" header="0.3" footer="0.3"/>
</x:worksheet>
</file>