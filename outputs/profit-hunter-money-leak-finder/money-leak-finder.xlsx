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beabd33724a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26d92cfaca494f74"/>
    <x:sheet xmlns:r="http://schemas.openxmlformats.org/officeDocument/2006/relationships" name="Dashboard" sheetId="2" r:id="Re6f3a59b6a0347fa"/>
    <x:sheet xmlns:r="http://schemas.openxmlformats.org/officeDocument/2006/relationships" name="Monthly Plan" sheetId="3" r:id="R84bbf5566ba84edd"/>
    <x:sheet xmlns:r="http://schemas.openxmlformats.org/officeDocument/2006/relationships" name="Paycheck Map" sheetId="4" r:id="R47293ab840f3437a"/>
    <x:sheet xmlns:r="http://schemas.openxmlformats.org/officeDocument/2006/relationships" name="Daily Log" sheetId="5" r:id="Rb43bd9dc1dc245a8"/>
    <x:sheet xmlns:r="http://schemas.openxmlformats.org/officeDocument/2006/relationships" name="Trends" sheetId="6" r:id="R78015dd6648c4d05"/>
    <x:sheet xmlns:r="http://schemas.openxmlformats.org/officeDocument/2006/relationships" name="Bills &amp; Timing" sheetId="7" r:id="R4d12df7889164e33"/>
    <x:sheet xmlns:r="http://schemas.openxmlformats.org/officeDocument/2006/relationships" name="Debt &amp; Subscriptions" sheetId="8" r:id="Rcd87fc486c1841d1"/>
    <x:sheet xmlns:r="http://schemas.openxmlformats.org/officeDocument/2006/relationships" name="Action Plan" sheetId="9" r:id="R6ee151f77cbd49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mm d, yyyy"/>
    <x:numFmt numFmtId="201" formatCode="&quot;$&quot;#,##0"/>
    <x:numFmt numFmtId="202" formatCode="0%"/>
    <x:numFmt numFmtId="203" formatCode="mmm yyyy"/>
    <x:numFmt numFmtId="204" formatCode="yyyy-mm-dd"/>
    <x:numFmt numFmtId="205" formatCode="0.00%"/>
  </x:numFmts>
  <x:fonts count="18">
    <x:font>
      <x:sz val="11"/>
      <x:name val="Carlito"/>
    </x:font>
    <x:font>
      <x:sz val="11"/>
      <x:name val="Aptos"/>
    </x:font>
    <x:font>
      <x:sz val="11"/>
      <x:color rgb="FF17231F"/>
      <x:name val="Aptos"/>
    </x:font>
    <x:font>
      <x:b/>
      <x:sz val="24"/>
      <x:color rgb="FFFFFFFF"/>
      <x:name val="Aptos"/>
    </x:font>
    <x:font>
      <x:sz val="12"/>
      <x:color rgb="FFD8E7DE"/>
      <x:name val="Aptos"/>
    </x:font>
    <x:font>
      <x:b/>
      <x:sz val="11"/>
      <x:color rgb="FFF6E2D8"/>
      <x:name val="Aptos"/>
    </x:font>
    <x:font>
      <x:b/>
      <x:sz val="13"/>
      <x:color rgb="FF17231F"/>
      <x:name val="Aptos"/>
    </x:font>
    <x:font>
      <x:b/>
      <x:sz val="11"/>
      <x:color rgb="FF17231F"/>
      <x:name val="Aptos"/>
    </x:font>
    <x:font>
      <x:b/>
      <x:sz val="11"/>
      <x:color rgb="FF0000FF"/>
      <x:name val="Aptos"/>
    </x:font>
    <x:font>
      <x:b/>
      <x:sz val="11"/>
      <x:color rgb="FF60594F"/>
      <x:name val="Aptos"/>
    </x:font>
    <x:font>
      <x:b/>
      <x:sz val="22"/>
      <x:color rgb="FF193D34"/>
      <x:name val="Aptos"/>
    </x:font>
    <x:font>
      <x:b/>
      <x:sz val="14"/>
      <x:color rgb="FFC96243"/>
      <x:name val="Aptos"/>
    </x:font>
    <x:font>
      <x:b/>
      <x:sz val="11"/>
      <x:color rgb="FFFFFFFF"/>
      <x:name val="Aptos"/>
    </x:font>
    <x:font>
      <x:b/>
      <x:sz val="15"/>
      <x:color rgb="FFC96243"/>
      <x:name val="Aptos"/>
    </x:font>
    <x:font>
      <x:sz val="11"/>
      <x:color rgb="FF0000FF"/>
      <x:name val="Aptos"/>
    </x:font>
    <x:font>
      <x:sz val="11"/>
      <x:color rgb="FF008000"/>
      <x:name val="Aptos"/>
    </x:font>
    <x:font>
      <x:sz val="11"/>
      <x:color rgb="FF000000"/>
      <x:name val="Aptos"/>
    </x:font>
    <x:font>
      <x:b/>
      <x:sz val="16"/>
      <x:color rgb="FF193D34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93D34"/>
      </x:patternFill>
    </x:fill>
    <x:fill>
      <x:patternFill patternType="solid">
        <x:fgColor rgb="FFF2ECDF"/>
      </x:patternFill>
    </x:fill>
    <x:fill>
      <x:patternFill patternType="solid">
        <x:fgColor rgb="FFFFFFFF"/>
      </x:patternFill>
    </x:fill>
    <x:fill>
      <x:patternFill patternType="solid">
        <x:fgColor rgb="FFE6F0DE"/>
      </x:patternFill>
    </x:fill>
    <x:fill>
      <x:patternFill patternType="solid">
        <x:fgColor rgb="FFFFF7E8"/>
      </x:patternFill>
    </x:fill>
    <x:fill>
      <x:patternFill patternType="solid">
        <x:fgColor rgb="FFDDEAF1"/>
      </x:patternFill>
    </x:fill>
    <x:fill>
      <x:patternFill patternType="solid">
        <x:fgColor rgb="FFF1D6CC"/>
      </x:patternFill>
    </x:fill>
    <x:fill>
      <x:patternFill patternType="solid">
        <x:fgColor rgb="FFFBFAF5"/>
      </x:patternFill>
    </x:fill>
  </x:fills>
  <x:borders count="39">
    <x:border/>
    <x:border>
      <x:left style="thin">
        <x:color rgb="FFDCD4C7"/>
      </x:left>
      <x:top style="thin">
        <x:color rgb="FFDCD4C7"/>
      </x:top>
    </x:border>
    <x:border>
      <x:top style="thin">
        <x:color rgb="FFDCD4C7"/>
      </x:top>
    </x:border>
    <x:border>
      <x:right style="thin">
        <x:color rgb="FFDCD4C7"/>
      </x:right>
      <x:top style="thin">
        <x:color rgb="FFDCD4C7"/>
      </x:top>
    </x:border>
    <x:border>
      <x:left style="thin">
        <x:color rgb="FFDCD4C7"/>
      </x:left>
    </x:border>
    <x:border>
      <x:right style="thin">
        <x:color rgb="FFDCD4C7"/>
      </x:right>
    </x:border>
    <x:border>
      <x:left style="thin">
        <x:color rgb="FFDCD4C7"/>
      </x:left>
      <x:bottom style="thin">
        <x:color rgb="FFDCD4C7"/>
      </x:bottom>
    </x:border>
    <x:border>
      <x:bottom style="thin">
        <x:color rgb="FFDCD4C7"/>
      </x:bottom>
    </x:border>
    <x:border>
      <x:right style="thin">
        <x:color rgb="FFDCD4C7"/>
      </x:right>
      <x:bottom style="thin">
        <x:color rgb="FFDCD4C7"/>
      </x:bottom>
    </x:border>
    <x:border>
      <x:left style="thin">
        <x:color rgb="FFDCD4C7"/>
      </x:left>
      <x:right style="thin">
        <x:color rgb="FFDCD4C7"/>
      </x:right>
      <x:bottom style="thin">
        <x:color rgb="FFDCD4C7"/>
      </x:bottom>
    </x:border>
    <x:border>
      <x:right style="thin">
        <x:color rgb="FFDCD4C7"/>
      </x:right>
      <x:top style="thin">
        <x:color rgb="FFDCD4C7"/>
      </x:top>
      <x:bottom style="thin">
        <x:color rgb="FFDCD4C7"/>
      </x:bottom>
    </x:border>
    <x:border>
      <x:left style="thin">
        <x:color rgb="FFDCD4C7"/>
      </x:left>
      <x:right style="thin">
        <x:color rgb="FFDCD4C7"/>
      </x:right>
      <x:top style="thin">
        <x:color rgb="FFDCD4C7"/>
      </x:top>
      <x:bottom style="thin">
        <x:color rgb="FFDCD4C7"/>
      </x:bottom>
    </x:border>
    <x:border>
      <x:left style="thin">
        <x:color rgb="FFDCD4C7"/>
      </x:left>
      <x:top style="thin">
        <x:color rgb="FFDCD4C7"/>
      </x:top>
      <x:bottom style="thin">
        <x:color rgb="FFDCD4C7"/>
      </x:bottom>
    </x:border>
    <x:border>
      <x:left style="thin">
        <x:color rgb="FFDCD4C7"/>
      </x:left>
      <x:right style="thin">
        <x:color rgb="FFDCD4C7"/>
      </x:right>
      <x:top style="thin">
        <x:color rgb="FFDCD4C7"/>
      </x:top>
    </x:border>
    <x:border>
      <x:left style="thin">
        <x:color rgb="FF193D34"/>
      </x:left>
      <x:top style="thin">
        <x:color rgb="FF193D34"/>
      </x:top>
    </x:border>
    <x:border>
      <x:top style="thin">
        <x:color rgb="FF193D34"/>
      </x:top>
    </x:border>
    <x:border>
      <x:right style="thin">
        <x:color rgb="FF193D34"/>
      </x:right>
      <x:top style="thin">
        <x:color rgb="FF193D34"/>
      </x:top>
    </x:border>
    <x:border>
      <x:left style="thin">
        <x:color rgb="FF193D34"/>
      </x:left>
    </x:border>
    <x:border>
      <x:right style="thin">
        <x:color rgb="FF193D34"/>
      </x:right>
    </x:border>
    <x:border>
      <x:left style="thin">
        <x:color rgb="FF193D34"/>
      </x:left>
      <x:bottom style="thin">
        <x:color rgb="FF193D34"/>
      </x:bottom>
    </x:border>
    <x:border>
      <x:bottom style="thin">
        <x:color rgb="FF193D34"/>
      </x:bottom>
    </x:border>
    <x:border>
      <x:right style="thin">
        <x:color rgb="FF193D34"/>
      </x:right>
      <x:bottom style="thin">
        <x:color rgb="FF193D34"/>
      </x:bottom>
    </x:border>
    <x:border>
      <x:right style="thin">
        <x:color rgb="FFEFE7DA"/>
      </x:right>
      <x:bottom style="thin">
        <x:color rgb="FFEFE7DA"/>
      </x:bottom>
    </x:border>
    <x:border>
      <x:left style="thin">
        <x:color rgb="FFEFE7DA"/>
      </x:left>
      <x:right style="thin">
        <x:color rgb="FFEFE7DA"/>
      </x:right>
      <x:bottom style="thin">
        <x:color rgb="FFEFE7DA"/>
      </x:bottom>
    </x:border>
    <x:border>
      <x:left style="thin">
        <x:color rgb="FFEFE7DA"/>
      </x:left>
      <x:bottom style="thin">
        <x:color rgb="FFEFE7DA"/>
      </x:bottom>
    </x:border>
    <x:border>
      <x:right style="thin">
        <x:color rgb="FFEFE7DA"/>
      </x:right>
      <x:top style="thin">
        <x:color rgb="FFEFE7DA"/>
      </x:top>
      <x:bottom style="thin">
        <x:color rgb="FFEFE7DA"/>
      </x:bottom>
    </x:border>
    <x:border>
      <x:left style="thin">
        <x:color rgb="FFEFE7DA"/>
      </x:left>
      <x:right style="thin">
        <x:color rgb="FFEFE7DA"/>
      </x:right>
      <x:top style="thin">
        <x:color rgb="FFEFE7DA"/>
      </x:top>
      <x:bottom style="thin">
        <x:color rgb="FFEFE7DA"/>
      </x:bottom>
    </x:border>
    <x:border>
      <x:left style="thin">
        <x:color rgb="FFEFE7DA"/>
      </x:left>
      <x:top style="thin">
        <x:color rgb="FFEFE7DA"/>
      </x:top>
      <x:bottom style="thin">
        <x:color rgb="FFEFE7DA"/>
      </x:bottom>
    </x:border>
    <x:border>
      <x:right style="thin">
        <x:color rgb="FFEFE7DA"/>
      </x:right>
      <x:top style="thin">
        <x:color rgb="FFEFE7DA"/>
      </x:top>
    </x:border>
    <x:border>
      <x:left style="thin">
        <x:color rgb="FFEFE7DA"/>
      </x:left>
      <x:right style="thin">
        <x:color rgb="FFEFE7DA"/>
      </x:right>
      <x:top style="thin">
        <x:color rgb="FFEFE7DA"/>
      </x:top>
    </x:border>
    <x:border>
      <x:left style="thin">
        <x:color rgb="FFEFE7DA"/>
      </x:left>
      <x:top style="thin">
        <x:color rgb="FFEFE7DA"/>
      </x:top>
    </x:border>
    <x:border>
      <x:left style="thin">
        <x:color rgb="FFDCD4C7"/>
      </x:left>
      <x:right style="thin">
        <x:color rgb="FFEFE7DA"/>
      </x:right>
      <x:top style="thin">
        <x:color rgb="FFDCD4C7"/>
      </x:top>
      <x:bottom style="thin">
        <x:color rgb="FFEFE7DA"/>
      </x:bottom>
    </x:border>
    <x:border>
      <x:left style="thin">
        <x:color rgb="FFEFE7DA"/>
      </x:left>
      <x:right style="thin">
        <x:color rgb="FFEFE7DA"/>
      </x:right>
      <x:top style="thin">
        <x:color rgb="FFDCD4C7"/>
      </x:top>
      <x:bottom style="thin">
        <x:color rgb="FFEFE7DA"/>
      </x:bottom>
    </x:border>
    <x:border>
      <x:left style="thin">
        <x:color rgb="FFEFE7DA"/>
      </x:left>
      <x:right style="thin">
        <x:color rgb="FFDCD4C7"/>
      </x:right>
      <x:top style="thin">
        <x:color rgb="FFDCD4C7"/>
      </x:top>
      <x:bottom style="thin">
        <x:color rgb="FFEFE7DA"/>
      </x:bottom>
    </x:border>
    <x:border>
      <x:left style="thin">
        <x:color rgb="FFDCD4C7"/>
      </x:left>
      <x:right style="thin">
        <x:color rgb="FFEFE7DA"/>
      </x:right>
      <x:top style="thin">
        <x:color rgb="FFEFE7DA"/>
      </x:top>
      <x:bottom style="thin">
        <x:color rgb="FFEFE7DA"/>
      </x:bottom>
    </x:border>
    <x:border>
      <x:left style="thin">
        <x:color rgb="FFEFE7DA"/>
      </x:left>
      <x:right style="thin">
        <x:color rgb="FFDCD4C7"/>
      </x:right>
      <x:top style="thin">
        <x:color rgb="FFEFE7DA"/>
      </x:top>
      <x:bottom style="thin">
        <x:color rgb="FFEFE7DA"/>
      </x:bottom>
    </x:border>
    <x:border>
      <x:left style="thin">
        <x:color rgb="FFDCD4C7"/>
      </x:left>
      <x:right style="thin">
        <x:color rgb="FFEFE7DA"/>
      </x:right>
      <x:top style="thin">
        <x:color rgb="FFEFE7DA"/>
      </x:top>
      <x:bottom style="thin">
        <x:color rgb="FFDCD4C7"/>
      </x:bottom>
    </x:border>
    <x:border>
      <x:left style="thin">
        <x:color rgb="FFEFE7DA"/>
      </x:left>
      <x:right style="thin">
        <x:color rgb="FFEFE7DA"/>
      </x:right>
      <x:top style="thin">
        <x:color rgb="FFEFE7DA"/>
      </x:top>
      <x:bottom style="thin">
        <x:color rgb="FFDCD4C7"/>
      </x:bottom>
    </x:border>
    <x:border>
      <x:left style="thin">
        <x:color rgb="FFEFE7DA"/>
      </x:left>
      <x:right style="thin">
        <x:color rgb="FFDCD4C7"/>
      </x:right>
      <x:top style="thin">
        <x:color rgb="FFEFE7DA"/>
      </x:top>
      <x:bottom style="thin">
        <x:color rgb="FFDCD4C7"/>
      </x:bottom>
    </x:border>
  </x:borders>
  <x:cellStyleXfs count="1">
    <x:xf numFmtId="0" fontId="0" fillId="0" borderId="0"/>
  </x:cellStyleXfs>
  <x:cellXfs count="3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wrapText="1"/>
    </x:xf>
    <x:xf numFmtId="0" fontId="7" fillId="4" borderId="4" xfId="0" applyNumberFormat="1" applyFont="1" applyFill="1" applyBorder="1" applyAlignment="1">
      <x:alignment wrapText="1"/>
    </x:xf>
    <x:xf numFmtId="0" fontId="2" fillId="4" borderId="5" xfId="0" applyNumberFormat="1" applyFont="1" applyFill="1" applyBorder="1" applyAlignment="1">
      <x:alignment wrapText="1"/>
    </x:xf>
    <x:xf numFmtId="0" fontId="7" fillId="4" borderId="6" xfId="0" applyNumberFormat="1" applyFont="1" applyFill="1" applyBorder="1" applyAlignment="1">
      <x:alignment wrapText="1"/>
    </x:xf>
    <x:xf numFmtId="0" fontId="2" fillId="4" borderId="7" xfId="0" applyNumberFormat="1" applyFont="1" applyFill="1" applyBorder="1" applyAlignment="1">
      <x:alignment wrapText="1"/>
    </x:xf>
    <x:xf numFmtId="0" fontId="2" fillId="4" borderId="8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wrapText="1"/>
    </x:xf>
    <x:xf numFmtId="0" fontId="2" fillId="5" borderId="3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wrapText="1"/>
    </x:xf>
    <x:xf numFmtId="0" fontId="7" fillId="5" borderId="6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2" fillId="6" borderId="2" xfId="0" applyNumberFormat="1" applyFont="1" applyFill="1" applyBorder="1" applyAlignment="1">
      <x:alignment wrapText="1"/>
    </x:xf>
    <x:xf numFmtId="0" fontId="2" fillId="6" borderId="3" xfId="0" applyNumberFormat="1" applyFont="1" applyFill="1" applyBorder="1" applyAlignment="1">
      <x:alignment wrapText="1"/>
    </x:xf>
    <x:xf numFmtId="0" fontId="2" fillId="6" borderId="6" xfId="0" applyNumberFormat="1" applyFont="1" applyFill="1" applyBorder="1" applyAlignment="1">
      <x:alignment wrapText="1"/>
    </x:xf>
    <x:xf numFmtId="0" fontId="2" fillId="6" borderId="7" xfId="0" applyNumberFormat="1" applyFont="1" applyFill="1" applyBorder="1" applyAlignment="1">
      <x:alignment wrapText="1"/>
    </x:xf>
    <x:xf numFmtId="0" fontId="2" fillId="6" borderId="8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200" fontId="8" fillId="6" borderId="0" xfId="0" applyNumberFormat="1" applyFont="1" applyFill="1" applyBorder="1" applyAlignment="1">
      <x:alignment wrapText="1"/>
    </x:xf>
    <x:xf numFmtId="200" fontId="8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200" fontId="8" fillId="4" borderId="2" xfId="0" applyNumberFormat="1" applyFont="1" applyFill="1" applyBorder="1" applyAlignment="1">
      <x:alignment wrapText="1"/>
    </x:xf>
    <x:xf numFmtId="0" fontId="2" fillId="4" borderId="6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  <x:xf numFmtId="0" fontId="2" fillId="7" borderId="3" xfId="0" applyNumberFormat="1" applyFont="1" applyFill="1" applyBorder="1" applyAlignment="1">
      <x:alignment wrapText="1"/>
    </x:xf>
    <x:xf numFmtId="0" fontId="2" fillId="7" borderId="4" xfId="0" applyNumberFormat="1" applyFont="1" applyFill="1" applyBorder="1" applyAlignment="1">
      <x:alignment wrapText="1"/>
    </x:xf>
    <x:xf numFmtId="0" fontId="2" fillId="7" borderId="5" xfId="0" applyNumberFormat="1" applyFont="1" applyFill="1" applyBorder="1" applyAlignment="1">
      <x:alignment wrapText="1"/>
    </x:xf>
    <x:xf numFmtId="0" fontId="2" fillId="7" borderId="6" xfId="0" applyNumberFormat="1" applyFont="1" applyFill="1" applyBorder="1" applyAlignment="1">
      <x:alignment wrapText="1"/>
    </x:xf>
    <x:xf numFmtId="0" fontId="2" fillId="7" borderId="8" xfId="0" applyNumberFormat="1" applyFont="1" applyFill="1" applyBorder="1" applyAlignment="1">
      <x:alignment wrapText="1"/>
    </x:xf>
    <x:xf numFmtId="0" fontId="2" fillId="6" borderId="4" xfId="0" applyNumberFormat="1" applyFont="1" applyFill="1" applyBorder="1" applyAlignment="1">
      <x:alignment wrapText="1"/>
    </x:xf>
    <x:xf numFmtId="0" fontId="2" fillId="6" borderId="5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wrapText="1"/>
    </x:xf>
    <x:xf numFmtId="0" fontId="2" fillId="8" borderId="3" xfId="0" applyNumberFormat="1" applyFont="1" applyFill="1" applyBorder="1" applyAlignment="1">
      <x:alignment wrapText="1"/>
    </x:xf>
    <x:xf numFmtId="0" fontId="2" fillId="8" borderId="4" xfId="0" applyNumberFormat="1" applyFont="1" applyFill="1" applyBorder="1" applyAlignment="1">
      <x:alignment wrapText="1"/>
    </x:xf>
    <x:xf numFmtId="0" fontId="2" fillId="8" borderId="5" xfId="0" applyNumberFormat="1" applyFont="1" applyFill="1" applyBorder="1" applyAlignment="1">
      <x:alignment wrapText="1"/>
    </x:xf>
    <x:xf numFmtId="0" fontId="2" fillId="8" borderId="6" xfId="0" applyNumberFormat="1" applyFont="1" applyFill="1" applyBorder="1" applyAlignment="1">
      <x:alignment wrapText="1"/>
    </x:xf>
    <x:xf numFmtId="0" fontId="2" fillId="8" borderId="8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0" fontId="9" fillId="5" borderId="3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wrapText="1"/>
    </x:xf>
    <x:xf numFmtId="0" fontId="9" fillId="7" borderId="3" xfId="0" applyNumberFormat="1" applyFont="1" applyFill="1" applyBorder="1" applyAlignment="1">
      <x:alignment wrapText="1"/>
    </x:xf>
    <x:xf numFmtId="0" fontId="9" fillId="6" borderId="1" xfId="0" applyNumberFormat="1" applyFont="1" applyFill="1" applyBorder="1" applyAlignment="1">
      <x:alignment wrapText="1"/>
    </x:xf>
    <x:xf numFmtId="0" fontId="9" fillId="6" borderId="3" xfId="0" applyNumberFormat="1" applyFont="1" applyFill="1" applyBorder="1" applyAlignment="1">
      <x:alignment wrapText="1"/>
    </x:xf>
    <x:xf numFmtId="0" fontId="9" fillId="3" borderId="1" xfId="0" applyNumberFormat="1" applyFont="1" applyFill="1" applyBorder="1" applyAlignment="1">
      <x:alignment wrapText="1"/>
    </x:xf>
    <x:xf numFmtId="0" fontId="9" fillId="3" borderId="3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wrapText="1"/>
    </x:xf>
    <x:xf numFmtId="0" fontId="9" fillId="8" borderId="3" xfId="0" applyNumberFormat="1" applyFont="1" applyFill="1" applyBorder="1" applyAlignment="1">
      <x:alignment wrapText="1"/>
    </x:xf>
    <x:xf numFmtId="0" fontId="10" fillId="5" borderId="4" xfId="0" applyNumberFormat="1" applyFont="1" applyFill="1" applyBorder="1" applyAlignment="1">
      <x:alignment wrapText="1"/>
    </x:xf>
    <x:xf numFmtId="0" fontId="10" fillId="5" borderId="5" xfId="0" applyNumberFormat="1" applyFont="1" applyFill="1" applyBorder="1" applyAlignment="1">
      <x:alignment wrapText="1"/>
    </x:xf>
    <x:xf numFmtId="0" fontId="10" fillId="7" borderId="4" xfId="0" applyNumberFormat="1" applyFont="1" applyFill="1" applyBorder="1" applyAlignment="1">
      <x:alignment wrapText="1"/>
    </x:xf>
    <x:xf numFmtId="0" fontId="10" fillId="7" borderId="5" xfId="0" applyNumberFormat="1" applyFont="1" applyFill="1" applyBorder="1" applyAlignment="1">
      <x:alignment wrapText="1"/>
    </x:xf>
    <x:xf numFmtId="0" fontId="10" fillId="6" borderId="4" xfId="0" applyNumberFormat="1" applyFont="1" applyFill="1" applyBorder="1" applyAlignment="1">
      <x:alignment wrapText="1"/>
    </x:xf>
    <x:xf numFmtId="0" fontId="10" fillId="6" borderId="5" xfId="0" applyNumberFormat="1" applyFont="1" applyFill="1" applyBorder="1" applyAlignment="1">
      <x:alignment wrapText="1"/>
    </x:xf>
    <x:xf numFmtId="0" fontId="10" fillId="5" borderId="6" xfId="0" applyNumberFormat="1" applyFont="1" applyFill="1" applyBorder="1" applyAlignment="1">
      <x:alignment wrapText="1"/>
    </x:xf>
    <x:xf numFmtId="0" fontId="10" fillId="5" borderId="8" xfId="0" applyNumberFormat="1" applyFont="1" applyFill="1" applyBorder="1" applyAlignment="1">
      <x:alignment wrapText="1"/>
    </x:xf>
    <x:xf numFmtId="0" fontId="10" fillId="7" borderId="6" xfId="0" applyNumberFormat="1" applyFont="1" applyFill="1" applyBorder="1" applyAlignment="1">
      <x:alignment wrapText="1"/>
    </x:xf>
    <x:xf numFmtId="0" fontId="10" fillId="7" borderId="8" xfId="0" applyNumberFormat="1" applyFont="1" applyFill="1" applyBorder="1" applyAlignment="1">
      <x:alignment wrapText="1"/>
    </x:xf>
    <x:xf numFmtId="0" fontId="10" fillId="6" borderId="6" xfId="0" applyNumberFormat="1" applyFont="1" applyFill="1" applyBorder="1" applyAlignment="1">
      <x:alignment wrapText="1"/>
    </x:xf>
    <x:xf numFmtId="0" fontId="10" fillId="6" borderId="8" xfId="0" applyNumberFormat="1" applyFont="1" applyFill="1" applyBorder="1" applyAlignment="1">
      <x:alignment wrapText="1"/>
    </x:xf>
    <x:xf numFmtId="201" fontId="10" fillId="5" borderId="4" xfId="0" applyNumberFormat="1" applyFont="1" applyFill="1" applyBorder="1" applyAlignment="1">
      <x:alignment wrapText="1"/>
    </x:xf>
    <x:xf numFmtId="201" fontId="10" fillId="5" borderId="5" xfId="0" applyNumberFormat="1" applyFont="1" applyFill="1" applyBorder="1" applyAlignment="1">
      <x:alignment wrapText="1"/>
    </x:xf>
    <x:xf numFmtId="201" fontId="10" fillId="7" borderId="4" xfId="0" applyNumberFormat="1" applyFont="1" applyFill="1" applyBorder="1" applyAlignment="1">
      <x:alignment wrapText="1"/>
    </x:xf>
    <x:xf numFmtId="201" fontId="10" fillId="7" borderId="5" xfId="0" applyNumberFormat="1" applyFont="1" applyFill="1" applyBorder="1" applyAlignment="1">
      <x:alignment wrapText="1"/>
    </x:xf>
    <x:xf numFmtId="201" fontId="10" fillId="6" borderId="4" xfId="0" applyNumberFormat="1" applyFont="1" applyFill="1" applyBorder="1" applyAlignment="1">
      <x:alignment wrapText="1"/>
    </x:xf>
    <x:xf numFmtId="201" fontId="10" fillId="6" borderId="5" xfId="0" applyNumberFormat="1" applyFont="1" applyFill="1" applyBorder="1" applyAlignment="1">
      <x:alignment wrapText="1"/>
    </x:xf>
    <x:xf numFmtId="201" fontId="10" fillId="5" borderId="6" xfId="0" applyNumberFormat="1" applyFont="1" applyFill="1" applyBorder="1" applyAlignment="1">
      <x:alignment wrapText="1"/>
    </x:xf>
    <x:xf numFmtId="201" fontId="10" fillId="5" borderId="8" xfId="0" applyNumberFormat="1" applyFont="1" applyFill="1" applyBorder="1" applyAlignment="1">
      <x:alignment wrapText="1"/>
    </x:xf>
    <x:xf numFmtId="201" fontId="10" fillId="7" borderId="6" xfId="0" applyNumberFormat="1" applyFont="1" applyFill="1" applyBorder="1" applyAlignment="1">
      <x:alignment wrapText="1"/>
    </x:xf>
    <x:xf numFmtId="201" fontId="10" fillId="7" borderId="8" xfId="0" applyNumberFormat="1" applyFont="1" applyFill="1" applyBorder="1" applyAlignment="1">
      <x:alignment wrapText="1"/>
    </x:xf>
    <x:xf numFmtId="201" fontId="10" fillId="6" borderId="6" xfId="0" applyNumberFormat="1" applyFont="1" applyFill="1" applyBorder="1" applyAlignment="1">
      <x:alignment wrapText="1"/>
    </x:xf>
    <x:xf numFmtId="201" fontId="10" fillId="6" borderId="8" xfId="0" applyNumberFormat="1" applyFont="1" applyFill="1" applyBorder="1" applyAlignment="1">
      <x:alignment wrapText="1"/>
    </x:xf>
    <x:xf numFmtId="0" fontId="10" fillId="3" borderId="4" xfId="0" applyNumberFormat="1" applyFont="1" applyFill="1" applyBorder="1" applyAlignment="1">
      <x:alignment wrapText="1"/>
    </x:xf>
    <x:xf numFmtId="0" fontId="10" fillId="3" borderId="5" xfId="0" applyNumberFormat="1" applyFont="1" applyFill="1" applyBorder="1" applyAlignment="1">
      <x:alignment wrapText="1"/>
    </x:xf>
    <x:xf numFmtId="0" fontId="10" fillId="3" borderId="6" xfId="0" applyNumberFormat="1" applyFont="1" applyFill="1" applyBorder="1" applyAlignment="1">
      <x:alignment wrapText="1"/>
    </x:xf>
    <x:xf numFmtId="0" fontId="10" fillId="3" borderId="8" xfId="0" applyNumberFormat="1" applyFont="1" applyFill="1" applyBorder="1" applyAlignment="1">
      <x:alignment wrapText="1"/>
    </x:xf>
    <x:xf numFmtId="202" fontId="10" fillId="3" borderId="4" xfId="0" applyNumberFormat="1" applyFont="1" applyFill="1" applyBorder="1" applyAlignment="1">
      <x:alignment wrapText="1"/>
    </x:xf>
    <x:xf numFmtId="202" fontId="10" fillId="3" borderId="5" xfId="0" applyNumberFormat="1" applyFont="1" applyFill="1" applyBorder="1" applyAlignment="1">
      <x:alignment wrapText="1"/>
    </x:xf>
    <x:xf numFmtId="202" fontId="10" fillId="3" borderId="6" xfId="0" applyNumberFormat="1" applyFont="1" applyFill="1" applyBorder="1" applyAlignment="1">
      <x:alignment wrapText="1"/>
    </x:xf>
    <x:xf numFmtId="202" fontId="10" fillId="3" borderId="8" xfId="0" applyNumberFormat="1" applyFont="1" applyFill="1" applyBorder="1" applyAlignment="1">
      <x:alignment wrapText="1"/>
    </x:xf>
    <x:xf numFmtId="0" fontId="11" fillId="8" borderId="4" xfId="0" applyNumberFormat="1" applyFont="1" applyFill="1" applyBorder="1" applyAlignment="1">
      <x:alignment wrapText="1"/>
    </x:xf>
    <x:xf numFmtId="0" fontId="11" fillId="8" borderId="5" xfId="0" applyNumberFormat="1" applyFont="1" applyFill="1" applyBorder="1" applyAlignment="1">
      <x:alignment wrapText="1"/>
    </x:xf>
    <x:xf numFmtId="0" fontId="11" fillId="8" borderId="6" xfId="0" applyNumberFormat="1" applyFont="1" applyFill="1" applyBorder="1" applyAlignment="1">
      <x:alignment wrapText="1"/>
    </x:xf>
    <x:xf numFmtId="0" fontId="11" fillId="8" borderId="8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horizontal="center" wrapText="1"/>
    </x:xf>
    <x:xf numFmtId="201" fontId="2" fillId="0" borderId="0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horizontal="center" wrapText="1"/>
    </x:xf>
    <x:xf numFmtId="201" fontId="2" fillId="4" borderId="0" xfId="0" applyNumberFormat="1" applyFont="1" applyFill="1" applyBorder="1" applyAlignment="1">
      <x:alignment wrapText="1"/>
    </x:xf>
    <x:xf numFmtId="202" fontId="2" fillId="4" borderId="0" xfId="0" applyNumberFormat="1" applyFont="1" applyFill="1" applyBorder="1" applyAlignment="1">
      <x:alignment wrapText="1"/>
    </x:xf>
    <x:xf numFmtId="0" fontId="12" fillId="4" borderId="1" xfId="0" applyNumberFormat="1" applyFont="1" applyFill="1" applyBorder="1" applyAlignment="1">
      <x:alignment horizontal="center" wrapText="1"/>
    </x:xf>
    <x:xf numFmtId="0" fontId="12" fillId="4" borderId="2" xfId="0" applyNumberFormat="1" applyFont="1" applyFill="1" applyBorder="1" applyAlignment="1">
      <x:alignment horizontal="center" wrapText="1"/>
    </x:xf>
    <x:xf numFmtId="0" fontId="12" fillId="4" borderId="3" xfId="0" applyNumberFormat="1" applyFont="1" applyFill="1" applyBorder="1" applyAlignment="1">
      <x:alignment horizontal="center" wrapText="1"/>
    </x:xf>
    <x:xf numFmtId="0" fontId="2" fillId="4" borderId="4" xfId="0" applyNumberFormat="1" applyFont="1" applyFill="1" applyBorder="1" applyAlignment="1">
      <x:alignment wrapText="1"/>
    </x:xf>
    <x:xf numFmtId="201" fontId="2" fillId="4" borderId="7" xfId="0" applyNumberFormat="1" applyFont="1" applyFill="1" applyBorder="1" applyAlignment="1">
      <x:alignment wrapText="1"/>
    </x:xf>
    <x:xf numFmtId="202" fontId="2" fillId="4" borderId="7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wrapText="1"/>
    </x:xf>
    <x:xf numFmtId="202" fontId="7" fillId="6" borderId="0" xfId="0" applyNumberFormat="1" applyFont="1" applyFill="1" applyBorder="1" applyAlignment="1">
      <x:alignment wrapText="1"/>
    </x:xf>
    <x:xf numFmtId="202" fontId="2" fillId="6" borderId="0" xfId="0" applyNumberFormat="1" applyFont="1" applyFill="1" applyBorder="1" applyAlignment="1">
      <x:alignment wrapText="1"/>
    </x:xf>
    <x:xf numFmtId="201" fontId="7" fillId="6" borderId="0" xfId="0" applyNumberFormat="1" applyFont="1" applyFill="1" applyBorder="1" applyAlignment="1">
      <x:alignment wrapText="1"/>
    </x:xf>
    <x:xf numFmtId="201" fontId="2" fillId="6" borderId="0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13" fillId="6" borderId="4" xfId="0" applyNumberFormat="1" applyFont="1" applyFill="1" applyBorder="1" applyAlignment="1">
      <x:alignment wrapText="1"/>
    </x:xf>
    <x:xf numFmtId="0" fontId="13" fillId="6" borderId="5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202" fontId="7" fillId="6" borderId="4" xfId="0" applyNumberFormat="1" applyFont="1" applyFill="1" applyBorder="1" applyAlignment="1">
      <x:alignment wrapText="1"/>
    </x:xf>
    <x:xf numFmtId="202" fontId="2" fillId="6" borderId="5" xfId="0" applyNumberFormat="1" applyFont="1" applyFill="1" applyBorder="1" applyAlignment="1">
      <x:alignment wrapText="1"/>
    </x:xf>
    <x:xf numFmtId="201" fontId="7" fillId="6" borderId="4" xfId="0" applyNumberFormat="1" applyFont="1" applyFill="1" applyBorder="1" applyAlignment="1">
      <x:alignment wrapText="1"/>
    </x:xf>
    <x:xf numFmtId="201" fontId="2" fillId="6" borderId="5" xfId="0" applyNumberFormat="1" applyFont="1" applyFill="1" applyBorder="1" applyAlignment="1">
      <x:alignment wrapText="1"/>
    </x:xf>
    <x:xf numFmtId="203" fontId="2" fillId="0" borderId="0" xfId="0" applyNumberFormat="1" applyFont="1" applyFill="1" applyBorder="1" applyAlignment="1">
      <x:alignment wrapText="1"/>
    </x:xf>
    <x:xf numFmtId="203" fontId="2" fillId="9" borderId="0" xfId="0" applyNumberFormat="1" applyFont="1" applyFill="1" applyBorder="1" applyAlignment="1">
      <x:alignment wrapText="1"/>
    </x:xf>
    <x:xf numFmtId="201" fontId="14" fillId="6" borderId="0" xfId="0" applyNumberFormat="1" applyFont="1" applyFill="1" applyBorder="1" applyAlignment="1">
      <x:alignment wrapText="1"/>
    </x:xf>
    <x:xf numFmtId="203" fontId="2" fillId="4" borderId="0" xfId="0" applyNumberFormat="1" applyFont="1" applyFill="1" applyBorder="1" applyAlignment="1">
      <x:alignment wrapText="1"/>
    </x:xf>
    <x:xf numFmtId="201" fontId="14" fillId="4" borderId="0" xfId="0" applyNumberFormat="1" applyFont="1" applyFill="1" applyBorder="1" applyAlignment="1">
      <x:alignment wrapText="1"/>
    </x:xf>
    <x:xf numFmtId="203" fontId="2" fillId="4" borderId="4" xfId="0" applyNumberFormat="1" applyFont="1" applyFill="1" applyBorder="1" applyAlignment="1">
      <x:alignment wrapText="1"/>
    </x:xf>
    <x:xf numFmtId="201" fontId="14" fillId="4" borderId="5" xfId="0" applyNumberFormat="1" applyFont="1" applyFill="1" applyBorder="1" applyAlignment="1">
      <x:alignment wrapText="1"/>
    </x:xf>
    <x:xf numFmtId="203" fontId="2" fillId="4" borderId="6" xfId="0" applyNumberFormat="1" applyFont="1" applyFill="1" applyBorder="1" applyAlignment="1">
      <x:alignment wrapText="1"/>
    </x:xf>
    <x:xf numFmtId="201" fontId="14" fillId="4" borderId="7" xfId="0" applyNumberFormat="1" applyFont="1" applyFill="1" applyBorder="1" applyAlignment="1">
      <x:alignment wrapText="1"/>
    </x:xf>
    <x:xf numFmtId="201" fontId="14" fillId="4" borderId="8" xfId="0" applyNumberFormat="1" applyFont="1" applyFill="1" applyBorder="1" applyAlignment="1">
      <x:alignment wrapText="1"/>
    </x:xf>
    <x:xf numFmtId="203" fontId="8" fillId="6" borderId="0" xfId="0" applyNumberFormat="1" applyFont="1" applyFill="1" applyBorder="1" applyAlignment="1">
      <x:alignment wrapText="1"/>
    </x:xf>
    <x:xf numFmtId="203" fontId="8" fillId="4" borderId="0" xfId="0" applyNumberFormat="1" applyFont="1" applyFill="1" applyBorder="1" applyAlignment="1">
      <x:alignment wrapText="1"/>
    </x:xf>
    <x:xf numFmtId="203" fontId="8" fillId="4" borderId="2" xfId="0" applyNumberFormat="1" applyFont="1" applyFill="1" applyBorder="1" applyAlignment="1">
      <x:alignment wrapText="1"/>
    </x:xf>
    <x:xf numFmtId="201" fontId="8" fillId="6" borderId="0" xfId="0" applyNumberFormat="1" applyFont="1" applyFill="1" applyBorder="1" applyAlignment="1">
      <x:alignment wrapText="1"/>
    </x:xf>
    <x:xf numFmtId="201" fontId="15" fillId="4" borderId="0" xfId="0" applyNumberFormat="1" applyFont="1" applyFill="1" applyBorder="1" applyAlignment="1">
      <x:alignment wrapText="1"/>
    </x:xf>
    <x:xf numFmtId="0" fontId="15" fillId="4" borderId="0" xfId="0" applyNumberFormat="1" applyFont="1" applyFill="1" applyBorder="1" applyAlignment="1">
      <x:alignment wrapText="1"/>
    </x:xf>
    <x:xf numFmtId="201" fontId="15" fillId="4" borderId="7" xfId="0" applyNumberFormat="1" applyFont="1" applyFill="1" applyBorder="1" applyAlignment="1">
      <x:alignment wrapText="1"/>
    </x:xf>
    <x:xf numFmtId="0" fontId="15" fillId="4" borderId="7" xfId="0" applyNumberFormat="1" applyFont="1" applyFill="1" applyBorder="1" applyAlignment="1">
      <x:alignment wrapText="1"/>
    </x:xf>
    <x:xf numFmtId="201" fontId="15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wrapText="1"/>
    </x:xf>
    <x:xf numFmtId="201" fontId="8" fillId="4" borderId="0" xfId="0" applyNumberFormat="1" applyFont="1" applyFill="1" applyBorder="1" applyAlignment="1">
      <x:alignment wrapText="1"/>
    </x:xf>
    <x:xf numFmtId="201" fontId="8" fillId="4" borderId="7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horizontal="center" wrapText="1"/>
    </x:xf>
    <x:xf numFmtId="0" fontId="12" fillId="6" borderId="1" xfId="0" applyNumberFormat="1" applyFont="1" applyFill="1" applyBorder="1" applyAlignment="1">
      <x:alignment horizontal="center" wrapText="1"/>
    </x:xf>
    <x:xf numFmtId="0" fontId="12" fillId="6" borderId="3" xfId="0" applyNumberFormat="1" applyFont="1" applyFill="1" applyBorder="1" applyAlignment="1">
      <x:alignment horizontal="center" wrapText="1"/>
    </x:xf>
    <x:xf numFmtId="204" fontId="2" fillId="0" borderId="0" xfId="0" applyNumberFormat="1" applyFont="1" applyFill="1" applyBorder="1" applyAlignment="1">
      <x:alignment wrapText="1"/>
    </x:xf>
    <x:xf numFmtId="204" fontId="2" fillId="6" borderId="0" xfId="0" applyNumberFormat="1" applyFont="1" applyFill="1" applyBorder="1" applyAlignment="1">
      <x:alignment wrapText="1"/>
    </x:xf>
    <x:xf numFmtId="204" fontId="14" fillId="6" borderId="0" xfId="0" applyNumberFormat="1" applyFont="1" applyFill="1" applyBorder="1" applyAlignment="1">
      <x:alignment wrapText="1"/>
    </x:xf>
    <x:xf numFmtId="0" fontId="14" fillId="6" borderId="0" xfId="0" applyNumberFormat="1" applyFont="1" applyFill="1" applyBorder="1" applyAlignment="1">
      <x:alignment wrapText="1"/>
    </x:xf>
    <x:xf numFmtId="204" fontId="14" fillId="4" borderId="0" xfId="0" applyNumberFormat="1" applyFont="1" applyFill="1" applyBorder="1" applyAlignment="1">
      <x:alignment wrapText="1"/>
    </x:xf>
    <x:xf numFmtId="0" fontId="14" fillId="4" borderId="0" xfId="0" applyNumberFormat="1" applyFont="1" applyFill="1" applyBorder="1" applyAlignment="1">
      <x:alignment wrapText="1"/>
    </x:xf>
    <x:xf numFmtId="204" fontId="14" fillId="4" borderId="4" xfId="0" applyNumberFormat="1" applyFont="1" applyFill="1" applyBorder="1" applyAlignment="1">
      <x:alignment wrapText="1"/>
    </x:xf>
    <x:xf numFmtId="0" fontId="14" fillId="4" borderId="5" xfId="0" applyNumberFormat="1" applyFont="1" applyFill="1" applyBorder="1" applyAlignment="1">
      <x:alignment wrapText="1"/>
    </x:xf>
    <x:xf numFmtId="204" fontId="14" fillId="4" borderId="6" xfId="0" applyNumberFormat="1" applyFont="1" applyFill="1" applyBorder="1" applyAlignment="1">
      <x:alignment wrapText="1"/>
    </x:xf>
    <x:xf numFmtId="0" fontId="14" fillId="4" borderId="7" xfId="0" applyNumberFormat="1" applyFont="1" applyFill="1" applyBorder="1" applyAlignment="1">
      <x:alignment wrapText="1"/>
    </x:xf>
    <x:xf numFmtId="0" fontId="14" fillId="4" borderId="8" xfId="0" applyNumberFormat="1" applyFont="1" applyFill="1" applyBorder="1" applyAlignment="1">
      <x:alignment wrapText="1"/>
    </x:xf>
    <x:xf numFmtId="204" fontId="14" fillId="6" borderId="4" xfId="0" applyNumberFormat="1" applyFont="1" applyFill="1" applyBorder="1" applyAlignment="1">
      <x:alignment wrapText="1"/>
    </x:xf>
    <x:xf numFmtId="0" fontId="14" fillId="6" borderId="5" xfId="0" applyNumberFormat="1" applyFont="1" applyFill="1" applyBorder="1" applyAlignment="1">
      <x:alignment wrapText="1"/>
    </x:xf>
    <x:xf numFmtId="204" fontId="14" fillId="6" borderId="6" xfId="0" applyNumberFormat="1" applyFont="1" applyFill="1" applyBorder="1" applyAlignment="1">
      <x:alignment wrapText="1"/>
    </x:xf>
    <x:xf numFmtId="0" fontId="14" fillId="6" borderId="7" xfId="0" applyNumberFormat="1" applyFont="1" applyFill="1" applyBorder="1" applyAlignment="1">
      <x:alignment wrapText="1"/>
    </x:xf>
    <x:xf numFmtId="201" fontId="14" fillId="6" borderId="7" xfId="0" applyNumberFormat="1" applyFont="1" applyFill="1" applyBorder="1" applyAlignment="1">
      <x:alignment wrapText="1"/>
    </x:xf>
    <x:xf numFmtId="0" fontId="14" fillId="6" borderId="8" xfId="0" applyNumberFormat="1" applyFont="1" applyFill="1" applyBorder="1" applyAlignment="1">
      <x:alignment wrapText="1"/>
    </x:xf>
    <x:xf numFmtId="0" fontId="12" fillId="6" borderId="2" xfId="0" applyNumberFormat="1" applyFont="1" applyFill="1" applyBorder="1" applyAlignment="1">
      <x:alignment horizontal="center" wrapText="1"/>
    </x:xf>
    <x:xf numFmtId="0" fontId="14" fillId="5" borderId="0" xfId="0" applyNumberFormat="1" applyFont="1" applyFill="1" applyBorder="1" applyAlignment="1">
      <x:alignment wrapText="1"/>
    </x:xf>
    <x:xf numFmtId="0" fontId="14" fillId="5" borderId="7" xfId="0" applyNumberFormat="1" applyFont="1" applyFill="1" applyBorder="1" applyAlignment="1">
      <x:alignment wrapText="1"/>
    </x:xf>
    <x:xf numFmtId="0" fontId="16" fillId="5" borderId="0" xfId="0" applyNumberFormat="1" applyFont="1" applyFill="1" applyBorder="1" applyAlignment="1">
      <x:alignment wrapText="1"/>
    </x:xf>
    <x:xf numFmtId="0" fontId="16" fillId="5" borderId="7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202" fontId="2" fillId="4" borderId="5" xfId="0" applyNumberFormat="1" applyFont="1" applyFill="1" applyBorder="1" applyAlignment="1">
      <x:alignment wrapText="1"/>
    </x:xf>
    <x:xf numFmtId="202" fontId="2" fillId="4" borderId="8" xfId="0" applyNumberFormat="1" applyFont="1" applyFill="1" applyBorder="1" applyAlignment="1">
      <x:alignment wrapText="1"/>
    </x:xf>
    <x:xf numFmtId="205" fontId="2" fillId="0" borderId="0" xfId="0" applyNumberFormat="1" applyFont="1" applyFill="1" applyBorder="1" applyAlignment="1">
      <x:alignment wrapText="1"/>
    </x:xf>
    <x:xf numFmtId="205" fontId="2" fillId="4" borderId="0" xfId="0" applyNumberFormat="1" applyFont="1" applyFill="1" applyBorder="1" applyAlignment="1">
      <x:alignment wrapText="1"/>
    </x:xf>
    <x:xf numFmtId="205" fontId="2" fillId="4" borderId="7" xfId="0" applyNumberFormat="1" applyFont="1" applyFill="1" applyBorder="1" applyAlignment="1">
      <x:alignment wrapText="1"/>
    </x:xf>
    <x:xf numFmtId="205" fontId="2" fillId="6" borderId="0" xfId="0" applyNumberFormat="1" applyFont="1" applyFill="1" applyBorder="1" applyAlignment="1">
      <x:alignment wrapText="1"/>
    </x:xf>
    <x:xf numFmtId="201" fontId="2" fillId="6" borderId="7" xfId="0" applyNumberFormat="1" applyFont="1" applyFill="1" applyBorder="1" applyAlignment="1">
      <x:alignment wrapText="1"/>
    </x:xf>
    <x:xf numFmtId="205" fontId="2" fillId="6" borderId="7" xfId="0" applyNumberFormat="1" applyFont="1" applyFill="1" applyBorder="1" applyAlignment="1">
      <x:alignment wrapText="1"/>
    </x:xf>
    <x:xf numFmtId="0" fontId="14" fillId="6" borderId="4" xfId="0" applyNumberFormat="1" applyFont="1" applyFill="1" applyBorder="1" applyAlignment="1">
      <x:alignment wrapText="1"/>
    </x:xf>
    <x:xf numFmtId="205" fontId="14" fillId="6" borderId="0" xfId="0" applyNumberFormat="1" applyFont="1" applyFill="1" applyBorder="1" applyAlignment="1">
      <x:alignment wrapText="1"/>
    </x:xf>
    <x:xf numFmtId="0" fontId="14" fillId="6" borderId="6" xfId="0" applyNumberFormat="1" applyFont="1" applyFill="1" applyBorder="1" applyAlignment="1">
      <x:alignment wrapText="1"/>
    </x:xf>
    <x:xf numFmtId="205" fontId="14" fillId="6" borderId="7" xfId="0" applyNumberFormat="1" applyFont="1" applyFill="1" applyBorder="1" applyAlignment="1">
      <x:alignment wrapText="1"/>
    </x:xf>
    <x:xf numFmtId="201" fontId="2" fillId="5" borderId="0" xfId="0" applyNumberFormat="1" applyFont="1" applyFill="1" applyBorder="1" applyAlignment="1">
      <x:alignment wrapText="1"/>
    </x:xf>
    <x:xf numFmtId="201" fontId="2" fillId="5" borderId="7" xfId="0" applyNumberFormat="1" applyFont="1" applyFill="1" applyBorder="1" applyAlignment="1">
      <x:alignment wrapText="1"/>
    </x:xf>
    <x:xf numFmtId="201" fontId="16" fillId="5" borderId="0" xfId="0" applyNumberFormat="1" applyFont="1" applyFill="1" applyBorder="1" applyAlignment="1">
      <x:alignment wrapText="1"/>
    </x:xf>
    <x:xf numFmtId="201" fontId="16" fillId="5" borderId="7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wrapText="1"/>
    </x:xf>
    <x:xf numFmtId="201" fontId="2" fillId="6" borderId="3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wrapText="1"/>
    </x:xf>
    <x:xf numFmtId="0" fontId="2" fillId="9" borderId="5" xfId="0" applyNumberFormat="1" applyFont="1" applyFill="1" applyBorder="1" applyAlignment="1">
      <x:alignment wrapText="1"/>
    </x:xf>
    <x:xf numFmtId="0" fontId="2" fillId="9" borderId="7" xfId="0" applyNumberFormat="1" applyFont="1" applyFill="1" applyBorder="1" applyAlignment="1">
      <x:alignment wrapText="1"/>
    </x:xf>
    <x:xf numFmtId="0" fontId="2" fillId="9" borderId="8" xfId="0" applyNumberFormat="1" applyFont="1" applyFill="1" applyBorder="1" applyAlignment="1">
      <x:alignment wrapText="1"/>
    </x:xf>
    <x:xf numFmtId="0" fontId="2" fillId="9" borderId="9" xfId="0" applyNumberFormat="1" applyFont="1" applyFill="1" applyBorder="1" applyAlignment="1">
      <x:alignment wrapText="1"/>
    </x:xf>
    <x:xf numFmtId="0" fontId="2" fillId="9" borderId="6" xfId="0" applyNumberFormat="1" applyFont="1" applyFill="1" applyBorder="1" applyAlignment="1">
      <x:alignment wrapText="1"/>
    </x:xf>
    <x:xf numFmtId="0" fontId="2" fillId="9" borderId="10" xfId="0" applyNumberFormat="1" applyFont="1" applyFill="1" applyBorder="1" applyAlignment="1">
      <x:alignment wrapText="1"/>
    </x:xf>
    <x:xf numFmtId="0" fontId="2" fillId="9" borderId="11" xfId="0" applyNumberFormat="1" applyFont="1" applyFill="1" applyBorder="1" applyAlignment="1">
      <x:alignment wrapText="1"/>
    </x:xf>
    <x:xf numFmtId="0" fontId="2" fillId="9" borderId="12" xfId="0" applyNumberFormat="1" applyFont="1" applyFill="1" applyBorder="1" applyAlignment="1">
      <x:alignment wrapText="1"/>
    </x:xf>
    <x:xf numFmtId="0" fontId="2" fillId="9" borderId="3" xfId="0" applyNumberFormat="1" applyFont="1" applyFill="1" applyBorder="1" applyAlignment="1">
      <x:alignment wrapText="1"/>
    </x:xf>
    <x:xf numFmtId="0" fontId="2" fillId="9" borderId="13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wrapText="1"/>
    </x:xf>
    <x:xf numFmtId="0" fontId="17" fillId="0" borderId="0" xfId="0" applyNumberFormat="1" applyFont="1" applyFill="1" applyBorder="1" applyAlignment="1">
      <x:alignment wrapText="1"/>
    </x:xf>
    <x:xf numFmtId="0" fontId="17" fillId="5" borderId="0" xfId="0" applyNumberFormat="1" applyFont="1" applyFill="1" applyBorder="1" applyAlignment="1">
      <x:alignment wrapText="1"/>
    </x:xf>
    <x:xf numFmtId="0" fontId="17" fillId="5" borderId="1" xfId="0" applyNumberFormat="1" applyFont="1" applyFill="1" applyBorder="1" applyAlignment="1">
      <x:alignment wrapText="1"/>
    </x:xf>
    <x:xf numFmtId="0" fontId="17" fillId="5" borderId="2" xfId="0" applyNumberFormat="1" applyFont="1" applyFill="1" applyBorder="1" applyAlignment="1">
      <x:alignment wrapText="1"/>
    </x:xf>
    <x:xf numFmtId="0" fontId="17" fillId="5" borderId="3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3" fillId="2" borderId="14" xfId="0" applyNumberFormat="1" applyFont="1" applyFill="1" applyBorder="1" applyAlignment="1">
      <x:alignment wrapText="1"/>
    </x:xf>
    <x:xf numFmtId="0" fontId="3" fillId="2" borderId="15" xfId="0" applyNumberFormat="1" applyFont="1" applyFill="1" applyBorder="1" applyAlignment="1">
      <x:alignment wrapText="1"/>
    </x:xf>
    <x:xf numFmtId="0" fontId="3" fillId="2" borderId="16" xfId="0" applyNumberFormat="1" applyFont="1" applyFill="1" applyBorder="1" applyAlignment="1">
      <x:alignment wrapText="1"/>
    </x:xf>
    <x:xf numFmtId="0" fontId="4" fillId="2" borderId="17" xfId="0" applyNumberFormat="1" applyFont="1" applyFill="1" applyBorder="1" applyAlignment="1">
      <x:alignment wrapText="1"/>
    </x:xf>
    <x:xf numFmtId="0" fontId="4" fillId="2" borderId="18" xfId="0" applyNumberFormat="1" applyFont="1" applyFill="1" applyBorder="1" applyAlignment="1">
      <x:alignment wrapText="1"/>
    </x:xf>
    <x:xf numFmtId="0" fontId="5" fillId="2" borderId="19" xfId="0" applyNumberFormat="1" applyFont="1" applyFill="1" applyBorder="1" applyAlignment="1">
      <x:alignment wrapText="1"/>
    </x:xf>
    <x:xf numFmtId="0" fontId="5" fillId="2" borderId="20" xfId="0" applyNumberFormat="1" applyFont="1" applyFill="1" applyBorder="1" applyAlignment="1">
      <x:alignment wrapText="1"/>
    </x:xf>
    <x:xf numFmtId="0" fontId="5" fillId="2" borderId="21" xfId="0" applyNumberFormat="1" applyFont="1" applyFill="1" applyBorder="1" applyAlignment="1">
      <x:alignment wrapText="1"/>
    </x:xf>
    <x:xf numFmtId="0" fontId="6" fillId="3" borderId="22" xfId="0" applyNumberFormat="1" applyFont="1" applyFill="1" applyBorder="1" applyAlignment="1">
      <x:alignment wrapText="1"/>
    </x:xf>
    <x:xf numFmtId="0" fontId="6" fillId="3" borderId="23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wrapText="1"/>
    </x:xf>
    <x:xf numFmtId="0" fontId="2" fillId="0" borderId="24" xfId="0" applyNumberFormat="1" applyFont="1" applyFill="1" applyBorder="1" applyAlignment="1">
      <x:alignment wrapText="1"/>
    </x:xf>
    <x:xf numFmtId="0" fontId="7" fillId="4" borderId="25" xfId="0" applyNumberFormat="1" applyFont="1" applyFill="1" applyBorder="1" applyAlignment="1">
      <x:alignment wrapText="1"/>
    </x:xf>
    <x:xf numFmtId="0" fontId="2" fillId="4" borderId="26" xfId="0" applyNumberFormat="1" applyFont="1" applyFill="1" applyBorder="1" applyAlignment="1">
      <x:alignment wrapText="1"/>
    </x:xf>
    <x:xf numFmtId="0" fontId="2" fillId="0" borderId="26" xfId="0" applyNumberFormat="1" applyFont="1" applyFill="1" applyBorder="1" applyAlignment="1">
      <x:alignment wrapText="1"/>
    </x:xf>
    <x:xf numFmtId="0" fontId="2" fillId="0" borderId="27" xfId="0" applyNumberFormat="1" applyFont="1" applyFill="1" applyBorder="1" applyAlignment="1">
      <x:alignment wrapText="1"/>
    </x:xf>
    <x:xf numFmtId="0" fontId="2" fillId="0" borderId="25" xfId="0" applyNumberFormat="1" applyFont="1" applyFill="1" applyBorder="1" applyAlignment="1">
      <x:alignment wrapText="1"/>
    </x:xf>
    <x:xf numFmtId="0" fontId="6" fillId="3" borderId="25" xfId="0" applyNumberFormat="1" applyFont="1" applyFill="1" applyBorder="1" applyAlignment="1">
      <x:alignment wrapText="1"/>
    </x:xf>
    <x:xf numFmtId="0" fontId="6" fillId="3" borderId="26" xfId="0" applyNumberFormat="1" applyFont="1" applyFill="1" applyBorder="1" applyAlignment="1">
      <x:alignment wrapText="1"/>
    </x:xf>
    <x:xf numFmtId="0" fontId="7" fillId="5" borderId="25" xfId="0" applyNumberFormat="1" applyFont="1" applyFill="1" applyBorder="1" applyAlignment="1">
      <x:alignment wrapText="1"/>
    </x:xf>
    <x:xf numFmtId="0" fontId="2" fillId="5" borderId="26" xfId="0" applyNumberFormat="1" applyFont="1" applyFill="1" applyBorder="1" applyAlignment="1">
      <x:alignment wrapText="1"/>
    </x:xf>
    <x:xf numFmtId="0" fontId="2" fillId="6" borderId="25" xfId="0" applyNumberFormat="1" applyFont="1" applyFill="1" applyBorder="1" applyAlignment="1">
      <x:alignment wrapText="1"/>
    </x:xf>
    <x:xf numFmtId="0" fontId="2" fillId="6" borderId="26" xfId="0" applyNumberFormat="1" applyFont="1" applyFill="1" applyBorder="1" applyAlignment="1">
      <x:alignment wrapText="1"/>
    </x:xf>
    <x:xf numFmtId="0" fontId="2" fillId="0" borderId="28" xfId="0" applyNumberFormat="1" applyFont="1" applyFill="1" applyBorder="1" applyAlignment="1">
      <x:alignment wrapText="1"/>
    </x:xf>
    <x:xf numFmtId="0" fontId="2" fillId="0" borderId="29" xfId="0" applyNumberFormat="1" applyFont="1" applyFill="1" applyBorder="1" applyAlignment="1">
      <x:alignment wrapText="1"/>
    </x:xf>
    <x:xf numFmtId="0" fontId="2" fillId="0" borderId="30" xfId="0" applyNumberFormat="1" applyFont="1" applyFill="1" applyBorder="1" applyAlignment="1">
      <x:alignment wrapText="1"/>
    </x:xf>
    <x:xf numFmtId="0" fontId="6" fillId="3" borderId="31" xfId="0" applyNumberFormat="1" applyFont="1" applyFill="1" applyBorder="1" applyAlignment="1">
      <x:alignment wrapText="1"/>
    </x:xf>
    <x:xf numFmtId="0" fontId="6" fillId="3" borderId="32" xfId="0" applyNumberFormat="1" applyFont="1" applyFill="1" applyBorder="1" applyAlignment="1">
      <x:alignment wrapText="1"/>
    </x:xf>
    <x:xf numFmtId="0" fontId="2" fillId="0" borderId="32" xfId="0" applyNumberFormat="1" applyFont="1" applyFill="1" applyBorder="1" applyAlignment="1">
      <x:alignment wrapText="1"/>
    </x:xf>
    <x:xf numFmtId="0" fontId="2" fillId="0" borderId="33" xfId="0" applyNumberFormat="1" applyFont="1" applyFill="1" applyBorder="1" applyAlignment="1">
      <x:alignment wrapText="1"/>
    </x:xf>
    <x:xf numFmtId="0" fontId="7" fillId="4" borderId="34" xfId="0" applyNumberFormat="1" applyFont="1" applyFill="1" applyBorder="1" applyAlignment="1">
      <x:alignment wrapText="1"/>
    </x:xf>
    <x:xf numFmtId="0" fontId="2" fillId="0" borderId="35" xfId="0" applyNumberFormat="1" applyFont="1" applyFill="1" applyBorder="1" applyAlignment="1">
      <x:alignment wrapText="1"/>
    </x:xf>
    <x:xf numFmtId="0" fontId="2" fillId="0" borderId="34" xfId="0" applyNumberFormat="1" applyFont="1" applyFill="1" applyBorder="1" applyAlignment="1">
      <x:alignment wrapText="1"/>
    </x:xf>
    <x:xf numFmtId="0" fontId="6" fillId="3" borderId="34" xfId="0" applyNumberFormat="1" applyFont="1" applyFill="1" applyBorder="1" applyAlignment="1">
      <x:alignment wrapText="1"/>
    </x:xf>
    <x:xf numFmtId="0" fontId="7" fillId="5" borderId="34" xfId="0" applyNumberFormat="1" applyFont="1" applyFill="1" applyBorder="1" applyAlignment="1">
      <x:alignment wrapText="1"/>
    </x:xf>
    <x:xf numFmtId="0" fontId="2" fillId="6" borderId="34" xfId="0" applyNumberFormat="1" applyFont="1" applyFill="1" applyBorder="1" applyAlignment="1">
      <x:alignment wrapText="1"/>
    </x:xf>
    <x:xf numFmtId="0" fontId="2" fillId="0" borderId="36" xfId="0" applyNumberFormat="1" applyFont="1" applyFill="1" applyBorder="1" applyAlignment="1">
      <x:alignment wrapText="1"/>
    </x:xf>
    <x:xf numFmtId="0" fontId="2" fillId="0" borderId="37" xfId="0" applyNumberFormat="1" applyFont="1" applyFill="1" applyBorder="1" applyAlignment="1">
      <x:alignment wrapText="1"/>
    </x:xf>
    <x:xf numFmtId="0" fontId="2" fillId="0" borderId="38" xfId="0" applyNumberFormat="1" applyFont="1" applyFill="1" applyBorder="1" applyAlignment="1">
      <x:alignment wrapText="1"/>
    </x:xf>
    <x:xf numFmtId="0" fontId="2" fillId="4" borderId="25" xfId="0" applyNumberFormat="1" applyFont="1" applyFill="1" applyBorder="1" applyAlignment="1">
      <x:alignment wrapText="1"/>
    </x:xf>
    <x:xf numFmtId="200" fontId="8" fillId="4" borderId="26" xfId="0" applyNumberFormat="1" applyFont="1" applyFill="1" applyBorder="1" applyAlignment="1">
      <x:alignment wrapText="1"/>
    </x:xf>
    <x:xf numFmtId="0" fontId="9" fillId="5" borderId="25" xfId="0" applyNumberFormat="1" applyFont="1" applyFill="1" applyBorder="1" applyAlignment="1">
      <x:alignment wrapText="1"/>
    </x:xf>
    <x:xf numFmtId="0" fontId="9" fillId="5" borderId="26" xfId="0" applyNumberFormat="1" applyFont="1" applyFill="1" applyBorder="1" applyAlignment="1">
      <x:alignment wrapText="1"/>
    </x:xf>
    <x:xf numFmtId="0" fontId="9" fillId="7" borderId="26" xfId="0" applyNumberFormat="1" applyFont="1" applyFill="1" applyBorder="1" applyAlignment="1">
      <x:alignment wrapText="1"/>
    </x:xf>
    <x:xf numFmtId="0" fontId="9" fillId="6" borderId="26" xfId="0" applyNumberFormat="1" applyFont="1" applyFill="1" applyBorder="1" applyAlignment="1">
      <x:alignment wrapText="1"/>
    </x:xf>
    <x:xf numFmtId="0" fontId="9" fillId="3" borderId="26" xfId="0" applyNumberFormat="1" applyFont="1" applyFill="1" applyBorder="1" applyAlignment="1">
      <x:alignment wrapText="1"/>
    </x:xf>
    <x:xf numFmtId="0" fontId="9" fillId="8" borderId="26" xfId="0" applyNumberFormat="1" applyFont="1" applyFill="1" applyBorder="1" applyAlignment="1">
      <x:alignment wrapText="1"/>
    </x:xf>
    <x:xf numFmtId="201" fontId="10" fillId="5" borderId="25" xfId="0" applyNumberFormat="1" applyFont="1" applyFill="1" applyBorder="1" applyAlignment="1">
      <x:alignment wrapText="1"/>
    </x:xf>
    <x:xf numFmtId="201" fontId="10" fillId="5" borderId="26" xfId="0" applyNumberFormat="1" applyFont="1" applyFill="1" applyBorder="1" applyAlignment="1">
      <x:alignment wrapText="1"/>
    </x:xf>
    <x:xf numFmtId="201" fontId="10" fillId="7" borderId="26" xfId="0" applyNumberFormat="1" applyFont="1" applyFill="1" applyBorder="1" applyAlignment="1">
      <x:alignment wrapText="1"/>
    </x:xf>
    <x:xf numFmtId="201" fontId="10" fillId="6" borderId="26" xfId="0" applyNumberFormat="1" applyFont="1" applyFill="1" applyBorder="1" applyAlignment="1">
      <x:alignment wrapText="1"/>
    </x:xf>
    <x:xf numFmtId="202" fontId="10" fillId="3" borderId="26" xfId="0" applyNumberFormat="1" applyFont="1" applyFill="1" applyBorder="1" applyAlignment="1">
      <x:alignment wrapText="1"/>
    </x:xf>
    <x:xf numFmtId="0" fontId="11" fillId="8" borderId="26" xfId="0" applyNumberFormat="1" applyFont="1" applyFill="1" applyBorder="1" applyAlignment="1">
      <x:alignment wrapText="1"/>
    </x:xf>
    <x:xf numFmtId="0" fontId="12" fillId="4" borderId="25" xfId="0" applyNumberFormat="1" applyFont="1" applyFill="1" applyBorder="1" applyAlignment="1">
      <x:alignment horizontal="center" wrapText="1"/>
    </x:xf>
    <x:xf numFmtId="0" fontId="12" fillId="4" borderId="26" xfId="0" applyNumberFormat="1" applyFont="1" applyFill="1" applyBorder="1" applyAlignment="1">
      <x:alignment horizontal="center" wrapText="1"/>
    </x:xf>
    <x:xf numFmtId="0" fontId="7" fillId="6" borderId="26" xfId="0" applyNumberFormat="1" applyFont="1" applyFill="1" applyBorder="1" applyAlignment="1">
      <x:alignment wrapText="1"/>
    </x:xf>
    <x:xf numFmtId="201" fontId="2" fillId="4" borderId="26" xfId="0" applyNumberFormat="1" applyFont="1" applyFill="1" applyBorder="1" applyAlignment="1">
      <x:alignment wrapText="1"/>
    </x:xf>
    <x:xf numFmtId="202" fontId="2" fillId="4" borderId="26" xfId="0" applyNumberFormat="1" applyFont="1" applyFill="1" applyBorder="1" applyAlignment="1">
      <x:alignment wrapText="1"/>
    </x:xf>
    <x:xf numFmtId="0" fontId="13" fillId="6" borderId="26" xfId="0" applyNumberFormat="1" applyFont="1" applyFill="1" applyBorder="1" applyAlignment="1">
      <x:alignment wrapText="1"/>
    </x:xf>
    <x:xf numFmtId="202" fontId="7" fillId="6" borderId="26" xfId="0" applyNumberFormat="1" applyFont="1" applyFill="1" applyBorder="1" applyAlignment="1">
      <x:alignment wrapText="1"/>
    </x:xf>
    <x:xf numFmtId="202" fontId="2" fillId="6" borderId="26" xfId="0" applyNumberFormat="1" applyFont="1" applyFill="1" applyBorder="1" applyAlignment="1">
      <x:alignment wrapText="1"/>
    </x:xf>
    <x:xf numFmtId="201" fontId="7" fillId="6" borderId="26" xfId="0" applyNumberFormat="1" applyFont="1" applyFill="1" applyBorder="1" applyAlignment="1">
      <x:alignment wrapText="1"/>
    </x:xf>
    <x:xf numFmtId="201" fontId="2" fillId="6" borderId="26" xfId="0" applyNumberFormat="1" applyFont="1" applyFill="1" applyBorder="1" applyAlignment="1">
      <x:alignment wrapText="1"/>
    </x:xf>
    <x:xf numFmtId="0" fontId="2" fillId="4" borderId="34" xfId="0" applyNumberFormat="1" applyFont="1" applyFill="1" applyBorder="1" applyAlignment="1">
      <x:alignment wrapText="1"/>
    </x:xf>
    <x:xf numFmtId="0" fontId="9" fillId="5" borderId="34" xfId="0" applyNumberFormat="1" applyFont="1" applyFill="1" applyBorder="1" applyAlignment="1">
      <x:alignment wrapText="1"/>
    </x:xf>
    <x:xf numFmtId="201" fontId="10" fillId="5" borderId="34" xfId="0" applyNumberFormat="1" applyFont="1" applyFill="1" applyBorder="1" applyAlignment="1">
      <x:alignment wrapText="1"/>
    </x:xf>
    <x:xf numFmtId="0" fontId="12" fillId="4" borderId="34" xfId="0" applyNumberFormat="1" applyFont="1" applyFill="1" applyBorder="1" applyAlignment="1">
      <x:alignment horizontal="center" wrapText="1"/>
    </x:xf>
    <x:xf numFmtId="0" fontId="6" fillId="3" borderId="24" xfId="0" applyNumberFormat="1" applyFont="1" applyFill="1" applyBorder="1" applyAlignment="1">
      <x:alignment wrapText="1"/>
    </x:xf>
    <x:xf numFmtId="0" fontId="12" fillId="4" borderId="27" xfId="0" applyNumberFormat="1" applyFont="1" applyFill="1" applyBorder="1" applyAlignment="1">
      <x:alignment horizontal="center" wrapText="1"/>
    </x:xf>
    <x:xf numFmtId="203" fontId="2" fillId="4" borderId="25" xfId="0" applyNumberFormat="1" applyFont="1" applyFill="1" applyBorder="1" applyAlignment="1">
      <x:alignment wrapText="1"/>
    </x:xf>
    <x:xf numFmtId="201" fontId="14" fillId="4" borderId="26" xfId="0" applyNumberFormat="1" applyFont="1" applyFill="1" applyBorder="1" applyAlignment="1">
      <x:alignment wrapText="1"/>
    </x:xf>
    <x:xf numFmtId="201" fontId="14" fillId="4" borderId="27" xfId="0" applyNumberFormat="1" applyFont="1" applyFill="1" applyBorder="1" applyAlignment="1">
      <x:alignment wrapText="1"/>
    </x:xf>
    <x:xf numFmtId="0" fontId="6" fillId="3" borderId="27" xfId="0" applyNumberFormat="1" applyFont="1" applyFill="1" applyBorder="1" applyAlignment="1">
      <x:alignment wrapText="1"/>
    </x:xf>
    <x:xf numFmtId="0" fontId="2" fillId="5" borderId="25" xfId="0" applyNumberFormat="1" applyFont="1" applyFill="1" applyBorder="1" applyAlignment="1">
      <x:alignment wrapText="1"/>
    </x:xf>
    <x:xf numFmtId="0" fontId="2" fillId="5" borderId="27" xfId="0" applyNumberFormat="1" applyFont="1" applyFill="1" applyBorder="1" applyAlignment="1">
      <x:alignment wrapText="1"/>
    </x:xf>
    <x:xf numFmtId="0" fontId="6" fillId="3" borderId="33" xfId="0" applyNumberFormat="1" applyFont="1" applyFill="1" applyBorder="1" applyAlignment="1">
      <x:alignment wrapText="1"/>
    </x:xf>
    <x:xf numFmtId="0" fontId="12" fillId="4" borderId="35" xfId="0" applyNumberFormat="1" applyFont="1" applyFill="1" applyBorder="1" applyAlignment="1">
      <x:alignment horizontal="center" wrapText="1"/>
    </x:xf>
    <x:xf numFmtId="203" fontId="2" fillId="4" borderId="34" xfId="0" applyNumberFormat="1" applyFont="1" applyFill="1" applyBorder="1" applyAlignment="1">
      <x:alignment wrapText="1"/>
    </x:xf>
    <x:xf numFmtId="201" fontId="14" fillId="4" borderId="35" xfId="0" applyNumberFormat="1" applyFont="1" applyFill="1" applyBorder="1" applyAlignment="1">
      <x:alignment wrapText="1"/>
    </x:xf>
    <x:xf numFmtId="0" fontId="6" fillId="3" borderId="35" xfId="0" applyNumberFormat="1" applyFont="1" applyFill="1" applyBorder="1" applyAlignment="1">
      <x:alignment wrapText="1"/>
    </x:xf>
    <x:xf numFmtId="0" fontId="2" fillId="5" borderId="34" xfId="0" applyNumberFormat="1" applyFont="1" applyFill="1" applyBorder="1" applyAlignment="1">
      <x:alignment wrapText="1"/>
    </x:xf>
    <x:xf numFmtId="0" fontId="2" fillId="5" borderId="35" xfId="0" applyNumberFormat="1" applyFont="1" applyFill="1" applyBorder="1" applyAlignment="1">
      <x:alignment wrapText="1"/>
    </x:xf>
    <x:xf numFmtId="203" fontId="8" fillId="4" borderId="26" xfId="0" applyNumberFormat="1" applyFont="1" applyFill="1" applyBorder="1" applyAlignment="1">
      <x:alignment wrapText="1"/>
    </x:xf>
    <x:xf numFmtId="0" fontId="12" fillId="6" borderId="26" xfId="0" applyNumberFormat="1" applyFont="1" applyFill="1" applyBorder="1" applyAlignment="1">
      <x:alignment horizontal="center" wrapText="1"/>
    </x:xf>
    <x:xf numFmtId="201" fontId="15" fillId="4" borderId="26" xfId="0" applyNumberFormat="1" applyFont="1" applyFill="1" applyBorder="1" applyAlignment="1">
      <x:alignment wrapText="1"/>
    </x:xf>
    <x:xf numFmtId="0" fontId="15" fillId="4" borderId="26" xfId="0" applyNumberFormat="1" applyFont="1" applyFill="1" applyBorder="1" applyAlignment="1">
      <x:alignment wrapText="1"/>
    </x:xf>
    <x:xf numFmtId="201" fontId="8" fillId="4" borderId="26" xfId="0" applyNumberFormat="1" applyFont="1" applyFill="1" applyBorder="1" applyAlignment="1">
      <x:alignment wrapText="1"/>
    </x:xf>
    <x:xf numFmtId="204" fontId="14" fillId="6" borderId="25" xfId="0" applyNumberFormat="1" applyFont="1" applyFill="1" applyBorder="1" applyAlignment="1">
      <x:alignment wrapText="1"/>
    </x:xf>
    <x:xf numFmtId="0" fontId="14" fillId="6" borderId="26" xfId="0" applyNumberFormat="1" applyFont="1" applyFill="1" applyBorder="1" applyAlignment="1">
      <x:alignment wrapText="1"/>
    </x:xf>
    <x:xf numFmtId="201" fontId="14" fillId="6" borderId="26" xfId="0" applyNumberFormat="1" applyFont="1" applyFill="1" applyBorder="1" applyAlignment="1">
      <x:alignment wrapText="1"/>
    </x:xf>
    <x:xf numFmtId="0" fontId="16" fillId="5" borderId="26" xfId="0" applyNumberFormat="1" applyFont="1" applyFill="1" applyBorder="1" applyAlignment="1">
      <x:alignment wrapText="1"/>
    </x:xf>
    <x:xf numFmtId="0" fontId="6" fillId="7" borderId="26" xfId="0" applyNumberFormat="1" applyFont="1" applyFill="1" applyBorder="1" applyAlignment="1">
      <x:alignment wrapText="1"/>
    </x:xf>
    <x:xf numFmtId="0" fontId="7" fillId="4" borderId="26" xfId="0" applyNumberFormat="1" applyFont="1" applyFill="1" applyBorder="1" applyAlignment="1">
      <x:alignment wrapText="1"/>
    </x:xf>
    <x:xf numFmtId="204" fontId="14" fillId="6" borderId="34" xfId="0" applyNumberFormat="1" applyFont="1" applyFill="1" applyBorder="1" applyAlignment="1">
      <x:alignment wrapText="1"/>
    </x:xf>
    <x:xf numFmtId="0" fontId="6" fillId="8" borderId="23" xfId="0" applyNumberFormat="1" applyFont="1" applyFill="1" applyBorder="1" applyAlignment="1">
      <x:alignment wrapText="1"/>
    </x:xf>
    <x:xf numFmtId="0" fontId="14" fillId="6" borderId="25" xfId="0" applyNumberFormat="1" applyFont="1" applyFill="1" applyBorder="1" applyAlignment="1">
      <x:alignment wrapText="1"/>
    </x:xf>
    <x:xf numFmtId="205" fontId="14" fillId="6" borderId="26" xfId="0" applyNumberFormat="1" applyFont="1" applyFill="1" applyBorder="1" applyAlignment="1">
      <x:alignment wrapText="1"/>
    </x:xf>
    <x:xf numFmtId="201" fontId="16" fillId="5" borderId="26" xfId="0" applyNumberFormat="1" applyFont="1" applyFill="1" applyBorder="1" applyAlignment="1">
      <x:alignment wrapText="1"/>
    </x:xf>
    <x:xf numFmtId="0" fontId="6" fillId="5" borderId="26" xfId="0" applyNumberFormat="1" applyFont="1" applyFill="1" applyBorder="1" applyAlignment="1">
      <x:alignment wrapText="1"/>
    </x:xf>
    <x:xf numFmtId="0" fontId="6" fillId="8" borderId="32" xfId="0" applyNumberFormat="1" applyFont="1" applyFill="1" applyBorder="1" applyAlignment="1">
      <x:alignment wrapText="1"/>
    </x:xf>
    <x:xf numFmtId="0" fontId="14" fillId="6" borderId="34" xfId="0" applyNumberFormat="1" applyFont="1" applyFill="1" applyBorder="1" applyAlignment="1">
      <x:alignment wrapText="1"/>
    </x:xf>
    <x:xf numFmtId="0" fontId="2" fillId="9" borderId="26" xfId="0" applyNumberFormat="1" applyFont="1" applyFill="1" applyBorder="1" applyAlignment="1">
      <x:alignment wrapText="1"/>
    </x:xf>
    <x:xf numFmtId="0" fontId="17" fillId="5" borderId="25" xfId="0" applyNumberFormat="1" applyFont="1" applyFill="1" applyBorder="1" applyAlignment="1">
      <x:alignment wrapText="1"/>
    </x:xf>
    <x:xf numFmtId="0" fontId="17" fillId="5" borderId="26" xfId="0" applyNumberFormat="1" applyFont="1" applyFill="1" applyBorder="1" applyAlignment="1">
      <x:alignment wrapText="1"/>
    </x:xf>
    <x:xf numFmtId="0" fontId="7" fillId="6" borderId="25" xfId="0" applyNumberFormat="1" applyFont="1" applyFill="1" applyBorder="1" applyAlignment="1">
      <x:alignment wrapText="1"/>
    </x:xf>
    <x:xf numFmtId="0" fontId="17" fillId="5" borderId="34" xfId="0" applyNumberFormat="1" applyFont="1" applyFill="1" applyBorder="1" applyAlignment="1">
      <x:alignment wrapText="1"/>
    </x:xf>
    <x:xf numFmtId="0" fontId="7" fillId="6" borderId="34" xfId="0" applyNumberFormat="1" applyFont="1" applyFill="1" applyBorder="1" applyAlignment="1">
      <x:alignment wrapText="1"/>
    </x:xf>
    <x:xf numFmtId="0" fontId="12" fillId="2" borderId="34" xfId="0" applyNumberFormat="1" applyFont="1" applyFill="1" applyBorder="1" applyAlignment="1">
      <x:alignment horizontal="center" wrapText="1"/>
    </x:xf>
    <x:xf numFmtId="0" fontId="12" fillId="2" borderId="26" xfId="0" applyNumberFormat="1" applyFont="1" applyFill="1" applyBorder="1" applyAlignment="1">
      <x:alignment horizontal="center" wrapText="1"/>
    </x:xf>
    <x:xf numFmtId="0" fontId="12" fillId="2" borderId="35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a53dd980814387" /><Relationship Type="http://schemas.openxmlformats.org/officeDocument/2006/relationships/theme" Target="/xl/theme/theme1.xml" Id="Rc920f02e1fa74c4c" /><Relationship Type="http://schemas.openxmlformats.org/officeDocument/2006/relationships/sharedStrings" Target="/xl/sharedStrings.xml" Id="Rd10d94b8e9724e90" /><Relationship Type="http://schemas.openxmlformats.org/officeDocument/2006/relationships/worksheet" Target="/xl/worksheets/sheet1.xml" Id="R26d92cfaca494f74" /><Relationship Type="http://schemas.openxmlformats.org/officeDocument/2006/relationships/worksheet" Target="/xl/worksheets/sheet2.xml" Id="Re6f3a59b6a0347fa" /><Relationship Type="http://schemas.openxmlformats.org/officeDocument/2006/relationships/worksheet" Target="/xl/worksheets/sheet3.xml" Id="R84bbf5566ba84edd" /><Relationship Type="http://schemas.openxmlformats.org/officeDocument/2006/relationships/worksheet" Target="/xl/worksheets/sheet4.xml" Id="R47293ab840f3437a" /><Relationship Type="http://schemas.openxmlformats.org/officeDocument/2006/relationships/worksheet" Target="/xl/worksheets/sheet5.xml" Id="Rb43bd9dc1dc245a8" /><Relationship Type="http://schemas.openxmlformats.org/officeDocument/2006/relationships/worksheet" Target="/xl/worksheets/sheet6.xml" Id="R78015dd6648c4d05" /><Relationship Type="http://schemas.openxmlformats.org/officeDocument/2006/relationships/worksheet" Target="/xl/worksheets/sheet7.xml" Id="R4d12df7889164e33" /><Relationship Type="http://schemas.openxmlformats.org/officeDocument/2006/relationships/worksheet" Target="/xl/worksheets/sheet8.xml" Id="Rcd87fc486c1841d1" /><Relationship Type="http://schemas.openxmlformats.org/officeDocument/2006/relationships/worksheet" Target="/xl/worksheets/sheet9.xml" Id="R6ee151f77cbd493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378928cda2848b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Income, Spending, and Flex Cash by Month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Income</c:v>
          </c:tx>
          <c:cat>
            <c:strRef>
              <c:f>'Trends'!$B$8:$B$19</c:f>
              <c:strCache>
                <c:ptCount val="0"/>
              </c:strCache>
            </c:strRef>
          </c:cat>
          <c:val>
            <c:numRef>
              <c:f>'Trends'!$C$8:$C$19</c:f>
              <c:numCache>
                <c:formatCode>"$"#,##0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Spending</c:v>
          </c:tx>
          <c:cat>
            <c:strRef>
              <c:f>'Trends'!$B$8:$B$19</c:f>
              <c:strCache>
                <c:ptCount val="0"/>
              </c:strCache>
            </c:strRef>
          </c:cat>
          <c:val>
            <c:numRef>
              <c:f>'Trends'!$D$8:$D$19</c:f>
              <c:numCache>
                <c:formatCode>"$"#,##0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True Flex Cash</c:v>
          </c:tx>
          <c:cat>
            <c:strRef>
              <c:f>'Trends'!$B$8:$B$19</c:f>
              <c:strCache>
                <c:ptCount val="0"/>
              </c:strCache>
            </c:strRef>
          </c:cat>
          <c:val>
            <c:numRef>
              <c:f>'Trends'!$E$8:$E$19</c:f>
              <c:numCache>
                <c:formatCode>"$"#,##0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6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78928cda2848b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24c0c9c4106948fc" /></Relationships>
</file>

<file path=xl/worksheets/sheet1.xml><?xml version="1.0" encoding="utf-8"?>
<x:worksheet xmlns:x="http://schemas.openxmlformats.org/spreadsheetml/2006/main">
  <x:sheetFormatPr defaultRowHeight="15"/>
  <x:cols>
    <x:col min="1" max="1" width="2.6700000762939453" hidden="0" customWidth="1"/>
    <x:col min="2" max="2" width="20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7.780000686645508" hidden="0" customWidth="1"/>
    <x:col min="8" max="8" width="25.559999465942383" hidden="0" customWidth="1"/>
    <x:col min="9" max="9" width="18.889999389648438" hidden="0" customWidth="1"/>
    <x:col min="10" max="10" width="23.329999923706055" hidden="0" customWidth="1"/>
    <x:col min="11" max="11" width="20" hidden="0" customWidth="1"/>
    <x:col min="12" max="12" width="17.780000686645508" hidden="0" customWidth="1"/>
    <x:col min="13" max="13" width="16.670000076293945" hidden="0" customWidth="1"/>
    <x:col min="14" max="14" width="16.670000076293945" hidden="0" customWidth="1"/>
    <x:col min="15" max="15" width="16.670000076293945" hidden="0" customWidth="1"/>
    <x:col min="16" max="16" width="16.670000076293945" hidden="0" customWidth="1"/>
    <x:col min="17" max="17" width="16.670000076293945" hidden="0" customWidth="1"/>
    <x:col min="18" max="18" width="16.670000076293945" hidden="0" customWidth="1"/>
    <x:col min="19" max="19" width="16.670000076293945" hidden="0" customWidth="1"/>
    <x:col min="20" max="20" width="16.670000076293945" hidden="0" customWidth="1"/>
    <x:col min="21" max="21" width="16.670000076293945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>
      <x:c r="A2" s="3"/>
      <x:c r="B2" s="230" t="str">
        <x:v>Money Leak Finder</x:v>
      </x:c>
      <x:c r="C2" s="231" t="str"/>
      <x:c r="D2" s="231" t="str"/>
      <x:c r="E2" s="231" t="str"/>
      <x:c r="F2" s="231" t="str"/>
      <x:c r="G2" s="231" t="str"/>
      <x:c r="H2" s="231" t="str"/>
      <x:c r="I2" s="231" t="str"/>
      <x:c r="J2" s="231" t="str"/>
      <x:c r="K2" s="232" t="str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>
      <x:c r="A3" s="3"/>
      <x:c r="B3" s="233" t="str">
        <x:v>A guided paycheck audit for people who earn enough but still feel squeezed.</x:v>
      </x:c>
      <x:c r="C3" s="6" t="str"/>
      <x:c r="D3" s="6" t="str"/>
      <x:c r="E3" s="6" t="str"/>
      <x:c r="F3" s="6" t="str"/>
      <x:c r="G3" s="6" t="str"/>
      <x:c r="H3" s="6" t="str"/>
      <x:c r="I3" s="6" t="str"/>
      <x:c r="J3" s="6" t="str"/>
      <x:c r="K3" s="234" t="str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>
      <x:c r="A4" s="3"/>
      <x:c r="B4" s="235" t="str">
        <x:v>Start here: follow the tabs from left to right.</x:v>
      </x:c>
      <x:c r="C4" s="236" t="str"/>
      <x:c r="D4" s="236" t="str"/>
      <x:c r="E4" s="236" t="str"/>
      <x:c r="F4" s="236" t="str"/>
      <x:c r="G4" s="236" t="str"/>
      <x:c r="H4" s="236" t="str"/>
      <x:c r="I4" s="236" t="str"/>
      <x:c r="J4" s="236" t="str"/>
      <x:c r="K4" s="237" t="str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</x:row>
    <x:row r="6">
      <x:c r="A6" s="3"/>
      <x:c r="B6" s="256" t="str">
        <x:v>How this workbook works</x:v>
      </x:c>
      <x:c r="C6" s="257" t="str">
        <x:v>How this workbook works</x:v>
      </x:c>
      <x:c r="D6" s="257" t="str">
        <x:v>How this workbook works</x:v>
      </x:c>
      <x:c r="E6" s="257" t="str">
        <x:v>How this workbook works</x:v>
      </x:c>
      <x:c r="F6" s="257" t="str">
        <x:v>How this workbook works</x:v>
      </x:c>
      <x:c r="G6" s="257" t="str">
        <x:v>How this workbook works</x:v>
      </x:c>
      <x:c r="H6" s="257" t="str">
        <x:v>How this workbook works</x:v>
      </x:c>
      <x:c r="I6" s="257" t="str">
        <x:v>How this workbook works</x:v>
      </x:c>
      <x:c r="J6" s="257" t="str">
        <x:v>How this workbook works</x:v>
      </x:c>
      <x:c r="K6" s="257" t="str">
        <x:v>How this workbook works</x:v>
      </x:c>
      <x:c r="L6" s="258"/>
      <x:c r="M6" s="258"/>
      <x:c r="N6" s="258"/>
      <x:c r="O6" s="258"/>
      <x:c r="P6" s="258"/>
      <x:c r="Q6" s="258"/>
      <x:c r="R6" s="258"/>
      <x:c r="S6" s="258"/>
      <x:c r="T6" s="258"/>
      <x:c r="U6" s="259"/>
    </x:row>
    <x:row r="7">
      <x:c r="A7" s="3"/>
      <x:c r="B7" s="260" t="str">
        <x:v>1. Start Here</x:v>
      </x:c>
      <x:c r="C7" s="243" t="str">
        <x:v>Read the flow and what each tab is for.</x:v>
      </x:c>
      <x:c r="D7" s="243" t="str"/>
      <x:c r="E7" s="243" t="str"/>
      <x:c r="F7" s="243" t="str"/>
      <x:c r="G7" s="243" t="str"/>
      <x:c r="H7" s="243" t="str"/>
      <x:c r="I7" s="243" t="str"/>
      <x:c r="J7" s="243" t="str"/>
      <x:c r="K7" s="243" t="str"/>
      <x:c r="L7" s="244"/>
      <x:c r="M7" s="244"/>
      <x:c r="N7" s="244"/>
      <x:c r="O7" s="244"/>
      <x:c r="P7" s="244"/>
      <x:c r="Q7" s="244"/>
      <x:c r="R7" s="244"/>
      <x:c r="S7" s="244"/>
      <x:c r="T7" s="244"/>
      <x:c r="U7" s="261"/>
    </x:row>
    <x:row r="8">
      <x:c r="A8" s="3"/>
      <x:c r="B8" s="260" t="str">
        <x:v>2. Dashboard</x:v>
      </x:c>
      <x:c r="C8" s="243" t="str">
        <x:v>Choose any start and end date to review one month, several months, or year-to-date.</x:v>
      </x:c>
      <x:c r="D8" s="243" t="str"/>
      <x:c r="E8" s="243" t="str"/>
      <x:c r="F8" s="243" t="str"/>
      <x:c r="G8" s="243" t="str"/>
      <x:c r="H8" s="243" t="str"/>
      <x:c r="I8" s="243" t="str"/>
      <x:c r="J8" s="243" t="str"/>
      <x:c r="K8" s="243" t="str"/>
      <x:c r="L8" s="244"/>
      <x:c r="M8" s="244"/>
      <x:c r="N8" s="244"/>
      <x:c r="O8" s="244"/>
      <x:c r="P8" s="244"/>
      <x:c r="Q8" s="244"/>
      <x:c r="R8" s="244"/>
      <x:c r="S8" s="244"/>
      <x:c r="T8" s="244"/>
      <x:c r="U8" s="261"/>
    </x:row>
    <x:row r="9">
      <x:c r="A9" s="3"/>
      <x:c r="B9" s="260" t="str">
        <x:v>3. Monthly Plan</x:v>
      </x:c>
      <x:c r="C9" s="243" t="str">
        <x:v>Store a separate budget for every month so prior months never disappear.</x:v>
      </x:c>
      <x:c r="D9" s="243" t="str"/>
      <x:c r="E9" s="243" t="str"/>
      <x:c r="F9" s="243" t="str"/>
      <x:c r="G9" s="243" t="str"/>
      <x:c r="H9" s="243" t="str"/>
      <x:c r="I9" s="243" t="str"/>
      <x:c r="J9" s="243" t="str"/>
      <x:c r="K9" s="243" t="str"/>
      <x:c r="L9" s="244"/>
      <x:c r="M9" s="244"/>
      <x:c r="N9" s="244"/>
      <x:c r="O9" s="244"/>
      <x:c r="P9" s="244"/>
      <x:c r="Q9" s="244"/>
      <x:c r="R9" s="244"/>
      <x:c r="S9" s="244"/>
      <x:c r="T9" s="244"/>
      <x:c r="U9" s="261"/>
    </x:row>
    <x:row r="10">
      <x:c r="A10" s="3"/>
      <x:c r="B10" s="260" t="str">
        <x:v>4. Paycheck Map</x:v>
      </x:c>
      <x:c r="C10" s="243" t="str">
        <x:v>Select one month for a focused budget-vs-actual review.</x:v>
      </x:c>
      <x:c r="D10" s="243" t="str"/>
      <x:c r="E10" s="243" t="str"/>
      <x:c r="F10" s="243" t="str"/>
      <x:c r="G10" s="243" t="str"/>
      <x:c r="H10" s="243" t="str"/>
      <x:c r="I10" s="243" t="str"/>
      <x:c r="J10" s="243" t="str"/>
      <x:c r="K10" s="243" t="str"/>
      <x:c r="L10" s="244"/>
      <x:c r="M10" s="244"/>
      <x:c r="N10" s="244"/>
      <x:c r="O10" s="244"/>
      <x:c r="P10" s="244"/>
      <x:c r="Q10" s="244"/>
      <x:c r="R10" s="244"/>
      <x:c r="S10" s="244"/>
      <x:c r="T10" s="244"/>
      <x:c r="U10" s="261"/>
    </x:row>
    <x:row r="11">
      <x:c r="A11" s="3"/>
      <x:c r="B11" s="260" t="str">
        <x:v>5. Daily Log</x:v>
      </x:c>
      <x:c r="C11" s="243" t="str">
        <x:v>Keep adding real income and spending. Dates drive every report automatically.</x:v>
      </x:c>
      <x:c r="D11" s="243" t="str"/>
      <x:c r="E11" s="243" t="str"/>
      <x:c r="F11" s="243" t="str"/>
      <x:c r="G11" s="243" t="str"/>
      <x:c r="H11" s="243" t="str"/>
      <x:c r="I11" s="243" t="str"/>
      <x:c r="J11" s="243" t="str"/>
      <x:c r="K11" s="243" t="str"/>
      <x:c r="L11" s="244"/>
      <x:c r="M11" s="244"/>
      <x:c r="N11" s="244"/>
      <x:c r="O11" s="244"/>
      <x:c r="P11" s="244"/>
      <x:c r="Q11" s="244"/>
      <x:c r="R11" s="244"/>
      <x:c r="S11" s="244"/>
      <x:c r="T11" s="244"/>
      <x:c r="U11" s="261"/>
    </x:row>
    <x:row r="12">
      <x:c r="A12" s="3"/>
      <x:c r="B12" s="260" t="str">
        <x:v>6. Trends</x:v>
      </x:c>
      <x:c r="C12" s="243" t="str">
        <x:v>Compare monthly income, spending, flex cash, and category percentages across the year.</x:v>
      </x:c>
      <x:c r="D12" s="243" t="str"/>
      <x:c r="E12" s="243" t="str"/>
      <x:c r="F12" s="243" t="str"/>
      <x:c r="G12" s="243" t="str"/>
      <x:c r="H12" s="243" t="str"/>
      <x:c r="I12" s="243" t="str"/>
      <x:c r="J12" s="243" t="str"/>
      <x:c r="K12" s="243" t="str"/>
      <x:c r="L12" s="244"/>
      <x:c r="M12" s="244"/>
      <x:c r="N12" s="244"/>
      <x:c r="O12" s="244"/>
      <x:c r="P12" s="244"/>
      <x:c r="Q12" s="244"/>
      <x:c r="R12" s="244"/>
      <x:c r="S12" s="244"/>
      <x:c r="T12" s="244"/>
      <x:c r="U12" s="261"/>
    </x:row>
    <x:row r="13">
      <x:c r="A13" s="3"/>
      <x:c r="B13" s="260" t="str">
        <x:v>7. Bills &amp; Timing</x:v>
      </x:c>
      <x:c r="C13" s="243" t="str">
        <x:v>Plan due dates so you can spot paycheck timing traps.</x:v>
      </x:c>
      <x:c r="D13" s="243" t="str"/>
      <x:c r="E13" s="243" t="str"/>
      <x:c r="F13" s="243" t="str"/>
      <x:c r="G13" s="243" t="str"/>
      <x:c r="H13" s="243" t="str"/>
      <x:c r="I13" s="243" t="str"/>
      <x:c r="J13" s="243" t="str"/>
      <x:c r="K13" s="243" t="str"/>
      <x:c r="L13" s="244"/>
      <x:c r="M13" s="244"/>
      <x:c r="N13" s="244"/>
      <x:c r="O13" s="244"/>
      <x:c r="P13" s="244"/>
      <x:c r="Q13" s="244"/>
      <x:c r="R13" s="244"/>
      <x:c r="S13" s="244"/>
      <x:c r="T13" s="244"/>
      <x:c r="U13" s="261"/>
    </x:row>
    <x:row r="14">
      <x:c r="A14" s="3"/>
      <x:c r="B14" s="260" t="str">
        <x:v>8. Debt &amp; Subscriptions</x:v>
      </x:c>
      <x:c r="C14" s="243" t="str">
        <x:v>Enter debt details clearly and choose what to cut, pause, or attack.</x:v>
      </x:c>
      <x:c r="D14" s="243" t="str"/>
      <x:c r="E14" s="243" t="str"/>
      <x:c r="F14" s="243" t="str"/>
      <x:c r="G14" s="243" t="str"/>
      <x:c r="H14" s="243" t="str"/>
      <x:c r="I14" s="243" t="str"/>
      <x:c r="J14" s="243" t="str"/>
      <x:c r="K14" s="243" t="str"/>
      <x:c r="L14" s="244"/>
      <x:c r="M14" s="244"/>
      <x:c r="N14" s="244"/>
      <x:c r="O14" s="244"/>
      <x:c r="P14" s="244"/>
      <x:c r="Q14" s="244"/>
      <x:c r="R14" s="244"/>
      <x:c r="S14" s="244"/>
      <x:c r="T14" s="244"/>
      <x:c r="U14" s="261"/>
    </x:row>
    <x:row r="15">
      <x:c r="A15" s="3"/>
      <x:c r="B15" s="262"/>
      <x:c r="C15" s="244"/>
      <x:c r="D15" s="244"/>
      <x:c r="E15" s="244"/>
      <x:c r="F15" s="244"/>
      <x:c r="G15" s="244"/>
      <x:c r="H15" s="244"/>
      <x:c r="I15" s="244"/>
      <x:c r="J15" s="244"/>
      <x:c r="K15" s="244"/>
      <x:c r="L15" s="244"/>
      <x:c r="M15" s="244"/>
      <x:c r="N15" s="244"/>
      <x:c r="O15" s="244"/>
      <x:c r="P15" s="244"/>
      <x:c r="Q15" s="244"/>
      <x:c r="R15" s="244"/>
      <x:c r="S15" s="244"/>
      <x:c r="T15" s="244"/>
      <x:c r="U15" s="261"/>
    </x:row>
    <x:row r="16">
      <x:c r="A16" s="3"/>
      <x:c r="B16" s="263" t="str">
        <x:v>What to do next</x:v>
      </x:c>
      <x:c r="C16" s="248" t="str">
        <x:v>What to do next</x:v>
      </x:c>
      <x:c r="D16" s="248" t="str">
        <x:v>What to do next</x:v>
      </x:c>
      <x:c r="E16" s="248" t="str">
        <x:v>What to do next</x:v>
      </x:c>
      <x:c r="F16" s="248" t="str">
        <x:v>What to do next</x:v>
      </x:c>
      <x:c r="G16" s="248" t="str">
        <x:v>What to do next</x:v>
      </x:c>
      <x:c r="H16" s="248" t="str">
        <x:v>What to do next</x:v>
      </x:c>
      <x:c r="I16" s="248" t="str">
        <x:v>What to do next</x:v>
      </x:c>
      <x:c r="J16" s="248" t="str">
        <x:v>What to do next</x:v>
      </x:c>
      <x:c r="K16" s="248" t="str">
        <x:v>What to do next</x:v>
      </x:c>
      <x:c r="L16" s="244"/>
      <x:c r="M16" s="244"/>
      <x:c r="N16" s="244"/>
      <x:c r="O16" s="244"/>
      <x:c r="P16" s="244"/>
      <x:c r="Q16" s="244"/>
      <x:c r="R16" s="244"/>
      <x:c r="S16" s="244"/>
      <x:c r="T16" s="244"/>
      <x:c r="U16" s="261"/>
    </x:row>
    <x:row r="17">
      <x:c r="A17" s="3"/>
      <x:c r="B17" s="264" t="str">
        <x:v>Step 1</x:v>
      </x:c>
      <x:c r="C17" s="250" t="str">
        <x:v>Enter a budget for each month on Monthly Plan.</x:v>
      </x:c>
      <x:c r="D17" s="250" t="str"/>
      <x:c r="E17" s="250" t="str"/>
      <x:c r="F17" s="250" t="str"/>
      <x:c r="G17" s="250" t="str"/>
      <x:c r="H17" s="250" t="str"/>
      <x:c r="I17" s="250" t="str"/>
      <x:c r="J17" s="250" t="str"/>
      <x:c r="K17" s="250" t="str"/>
      <x:c r="L17" s="244"/>
      <x:c r="M17" s="244"/>
      <x:c r="N17" s="244"/>
      <x:c r="O17" s="244"/>
      <x:c r="P17" s="244"/>
      <x:c r="Q17" s="244"/>
      <x:c r="R17" s="244"/>
      <x:c r="S17" s="244"/>
      <x:c r="T17" s="244"/>
      <x:c r="U17" s="261"/>
    </x:row>
    <x:row r="18">
      <x:c r="A18" s="3"/>
      <x:c r="B18" s="264" t="str">
        <x:v>Step 2</x:v>
      </x:c>
      <x:c r="C18" s="250" t="str">
        <x:v>Keep adding transactions to Daily Log. Never clear prior months.</x:v>
      </x:c>
      <x:c r="D18" s="250" t="str"/>
      <x:c r="E18" s="250" t="str"/>
      <x:c r="F18" s="250" t="str"/>
      <x:c r="G18" s="250" t="str"/>
      <x:c r="H18" s="250" t="str"/>
      <x:c r="I18" s="250" t="str"/>
      <x:c r="J18" s="250" t="str"/>
      <x:c r="K18" s="250" t="str"/>
      <x:c r="L18" s="244"/>
      <x:c r="M18" s="244"/>
      <x:c r="N18" s="244"/>
      <x:c r="O18" s="244"/>
      <x:c r="P18" s="244"/>
      <x:c r="Q18" s="244"/>
      <x:c r="R18" s="244"/>
      <x:c r="S18" s="244"/>
      <x:c r="T18" s="244"/>
      <x:c r="U18" s="261"/>
    </x:row>
    <x:row r="19">
      <x:c r="A19" s="3"/>
      <x:c r="B19" s="264" t="str">
        <x:v>Step 3</x:v>
      </x:c>
      <x:c r="C19" s="250" t="str">
        <x:v>Use Paycheck Map for one-month budget-vs-actual review.</x:v>
      </x:c>
      <x:c r="D19" s="250" t="str"/>
      <x:c r="E19" s="250" t="str"/>
      <x:c r="F19" s="250" t="str"/>
      <x:c r="G19" s="250" t="str"/>
      <x:c r="H19" s="250" t="str"/>
      <x:c r="I19" s="250" t="str"/>
      <x:c r="J19" s="250" t="str"/>
      <x:c r="K19" s="250" t="str"/>
      <x:c r="L19" s="244"/>
      <x:c r="M19" s="244"/>
      <x:c r="N19" s="244"/>
      <x:c r="O19" s="244"/>
      <x:c r="P19" s="244"/>
      <x:c r="Q19" s="244"/>
      <x:c r="R19" s="244"/>
      <x:c r="S19" s="244"/>
      <x:c r="T19" s="244"/>
      <x:c r="U19" s="261"/>
    </x:row>
    <x:row r="20">
      <x:c r="A20" s="3"/>
      <x:c r="B20" s="264" t="str">
        <x:v>Step 4</x:v>
      </x:c>
      <x:c r="C20" s="250" t="str">
        <x:v>Use Dashboard and Trends for multi-month and yearly analysis.</x:v>
      </x:c>
      <x:c r="D20" s="250" t="str"/>
      <x:c r="E20" s="250" t="str"/>
      <x:c r="F20" s="250" t="str"/>
      <x:c r="G20" s="250" t="str"/>
      <x:c r="H20" s="250" t="str"/>
      <x:c r="I20" s="250" t="str"/>
      <x:c r="J20" s="250" t="str"/>
      <x:c r="K20" s="250" t="str"/>
      <x:c r="L20" s="244"/>
      <x:c r="M20" s="244"/>
      <x:c r="N20" s="244"/>
      <x:c r="O20" s="244"/>
      <x:c r="P20" s="244"/>
      <x:c r="Q20" s="244"/>
      <x:c r="R20" s="244"/>
      <x:c r="S20" s="244"/>
      <x:c r="T20" s="244"/>
      <x:c r="U20" s="261"/>
    </x:row>
    <x:row r="21">
      <x:c r="A21" s="3"/>
      <x:c r="B21" s="264" t="str">
        <x:v>Step 5</x:v>
      </x:c>
      <x:c r="C21" s="250" t="str">
        <x:v>Use Bills, Debt, and Action Plan to decide what changes next.</x:v>
      </x:c>
      <x:c r="D21" s="250" t="str"/>
      <x:c r="E21" s="250" t="str"/>
      <x:c r="F21" s="250" t="str"/>
      <x:c r="G21" s="250" t="str"/>
      <x:c r="H21" s="250" t="str"/>
      <x:c r="I21" s="250" t="str"/>
      <x:c r="J21" s="250" t="str"/>
      <x:c r="K21" s="250" t="str"/>
      <x:c r="L21" s="244"/>
      <x:c r="M21" s="244"/>
      <x:c r="N21" s="244"/>
      <x:c r="O21" s="244"/>
      <x:c r="P21" s="244"/>
      <x:c r="Q21" s="244"/>
      <x:c r="R21" s="244"/>
      <x:c r="S21" s="244"/>
      <x:c r="T21" s="244"/>
      <x:c r="U21" s="261"/>
    </x:row>
    <x:row r="22">
      <x:c r="A22" s="3"/>
      <x:c r="B22" s="262"/>
      <x:c r="C22" s="244"/>
      <x:c r="D22" s="244"/>
      <x:c r="E22" s="244"/>
      <x:c r="F22" s="244"/>
      <x:c r="G22" s="244"/>
      <x:c r="H22" s="244"/>
      <x:c r="I22" s="244"/>
      <x:c r="J22" s="244"/>
      <x:c r="K22" s="244"/>
      <x:c r="L22" s="244"/>
      <x:c r="M22" s="244"/>
      <x:c r="N22" s="244"/>
      <x:c r="O22" s="244"/>
      <x:c r="P22" s="244"/>
      <x:c r="Q22" s="244"/>
      <x:c r="R22" s="244"/>
      <x:c r="S22" s="244"/>
      <x:c r="T22" s="244"/>
      <x:c r="U22" s="261"/>
    </x:row>
    <x:row r="23">
      <x:c r="A23" s="3"/>
      <x:c r="B23" s="263" t="str">
        <x:v>Important note</x:v>
      </x:c>
      <x:c r="C23" s="248" t="str">
        <x:v>Important note</x:v>
      </x:c>
      <x:c r="D23" s="248" t="str">
        <x:v>Important note</x:v>
      </x:c>
      <x:c r="E23" s="248" t="str">
        <x:v>Important note</x:v>
      </x:c>
      <x:c r="F23" s="248" t="str">
        <x:v>Important note</x:v>
      </x:c>
      <x:c r="G23" s="248" t="str">
        <x:v>Important note</x:v>
      </x:c>
      <x:c r="H23" s="248" t="str">
        <x:v>Important note</x:v>
      </x:c>
      <x:c r="I23" s="248" t="str">
        <x:v>Important note</x:v>
      </x:c>
      <x:c r="J23" s="248" t="str">
        <x:v>Important note</x:v>
      </x:c>
      <x:c r="K23" s="248" t="str">
        <x:v>Important note</x:v>
      </x:c>
      <x:c r="L23" s="244"/>
      <x:c r="M23" s="244"/>
      <x:c r="N23" s="244"/>
      <x:c r="O23" s="244"/>
      <x:c r="P23" s="244"/>
      <x:c r="Q23" s="244"/>
      <x:c r="R23" s="244"/>
      <x:c r="S23" s="244"/>
      <x:c r="T23" s="244"/>
      <x:c r="U23" s="261"/>
    </x:row>
    <x:row r="24">
      <x:c r="A24" s="3"/>
      <x:c r="B24" s="265" t="str">
        <x:v>This workbook is educational. It is meant to show cash-flow patterns, not provide individualized financial, legal, or investment advice.</x:v>
      </x:c>
      <x:c r="C24" s="252" t="str"/>
      <x:c r="D24" s="252" t="str"/>
      <x:c r="E24" s="252" t="str"/>
      <x:c r="F24" s="252" t="str"/>
      <x:c r="G24" s="252" t="str"/>
      <x:c r="H24" s="252" t="str"/>
      <x:c r="I24" s="252" t="str"/>
      <x:c r="J24" s="252" t="str"/>
      <x:c r="K24" s="252" t="str"/>
      <x:c r="L24" s="244"/>
      <x:c r="M24" s="244"/>
      <x:c r="N24" s="244"/>
      <x:c r="O24" s="244"/>
      <x:c r="P24" s="244"/>
      <x:c r="Q24" s="244"/>
      <x:c r="R24" s="244"/>
      <x:c r="S24" s="244"/>
      <x:c r="T24" s="244"/>
      <x:c r="U24" s="261"/>
    </x:row>
    <x:row r="25">
      <x:c r="A25" s="3"/>
      <x:c r="B25" s="265" t="str">
        <x:v>The daily log is where the trust is built: if spending gets entered there, the dashboard tells the truth.</x:v>
      </x:c>
      <x:c r="C25" s="252" t="str"/>
      <x:c r="D25" s="252" t="str"/>
      <x:c r="E25" s="252" t="str"/>
      <x:c r="F25" s="252" t="str"/>
      <x:c r="G25" s="252" t="str"/>
      <x:c r="H25" s="252" t="str"/>
      <x:c r="I25" s="252" t="str"/>
      <x:c r="J25" s="252" t="str"/>
      <x:c r="K25" s="252" t="str"/>
      <x:c r="L25" s="244"/>
      <x:c r="M25" s="244"/>
      <x:c r="N25" s="244"/>
      <x:c r="O25" s="244"/>
      <x:c r="P25" s="244"/>
      <x:c r="Q25" s="244"/>
      <x:c r="R25" s="244"/>
      <x:c r="S25" s="244"/>
      <x:c r="T25" s="244"/>
      <x:c r="U25" s="261"/>
    </x:row>
    <x:row r="26">
      <x:c r="A26" s="3"/>
      <x:c r="B26" s="262"/>
      <x:c r="C26" s="244"/>
      <x:c r="D26" s="244"/>
      <x:c r="E26" s="244"/>
      <x:c r="F26" s="244"/>
      <x:c r="G26" s="244"/>
      <x:c r="H26" s="244"/>
      <x:c r="I26" s="244"/>
      <x:c r="J26" s="244"/>
      <x:c r="K26" s="244"/>
      <x:c r="L26" s="244"/>
      <x:c r="M26" s="244"/>
      <x:c r="N26" s="244"/>
      <x:c r="O26" s="244"/>
      <x:c r="P26" s="244"/>
      <x:c r="Q26" s="244"/>
      <x:c r="R26" s="244"/>
      <x:c r="S26" s="244"/>
      <x:c r="T26" s="244"/>
      <x:c r="U26" s="261"/>
    </x:row>
    <x:row r="27">
      <x:c r="A27" s="3"/>
      <x:c r="B27" s="262"/>
      <x:c r="C27" s="244"/>
      <x:c r="D27" s="244"/>
      <x:c r="E27" s="244"/>
      <x:c r="F27" s="244"/>
      <x:c r="G27" s="244"/>
      <x:c r="H27" s="244"/>
      <x:c r="I27" s="244"/>
      <x:c r="J27" s="244"/>
      <x:c r="K27" s="244"/>
      <x:c r="L27" s="244"/>
      <x:c r="M27" s="244"/>
      <x:c r="N27" s="244"/>
      <x:c r="O27" s="244"/>
      <x:c r="P27" s="244"/>
      <x:c r="Q27" s="244"/>
      <x:c r="R27" s="244"/>
      <x:c r="S27" s="244"/>
      <x:c r="T27" s="244"/>
      <x:c r="U27" s="261"/>
    </x:row>
    <x:row r="28">
      <x:c r="A28" s="3"/>
      <x:c r="B28" s="262"/>
      <x:c r="C28" s="244"/>
      <x:c r="D28" s="244"/>
      <x:c r="E28" s="244"/>
      <x:c r="F28" s="244"/>
      <x:c r="G28" s="244"/>
      <x:c r="H28" s="244"/>
      <x:c r="I28" s="244"/>
      <x:c r="J28" s="244"/>
      <x:c r="K28" s="244"/>
      <x:c r="L28" s="244"/>
      <x:c r="M28" s="244"/>
      <x:c r="N28" s="244"/>
      <x:c r="O28" s="244"/>
      <x:c r="P28" s="244"/>
      <x:c r="Q28" s="244"/>
      <x:c r="R28" s="244"/>
      <x:c r="S28" s="244"/>
      <x:c r="T28" s="244"/>
      <x:c r="U28" s="261"/>
    </x:row>
    <x:row r="29">
      <x:c r="A29" s="3"/>
      <x:c r="B29" s="262"/>
      <x:c r="C29" s="244"/>
      <x:c r="D29" s="244"/>
      <x:c r="E29" s="244"/>
      <x:c r="F29" s="244"/>
      <x:c r="G29" s="244"/>
      <x:c r="H29" s="244"/>
      <x:c r="I29" s="244"/>
      <x:c r="J29" s="244"/>
      <x:c r="K29" s="244"/>
      <x:c r="L29" s="244"/>
      <x:c r="M29" s="244"/>
      <x:c r="N29" s="244"/>
      <x:c r="O29" s="244"/>
      <x:c r="P29" s="244"/>
      <x:c r="Q29" s="244"/>
      <x:c r="R29" s="244"/>
      <x:c r="S29" s="244"/>
      <x:c r="T29" s="244"/>
      <x:c r="U29" s="261"/>
    </x:row>
    <x:row r="30">
      <x:c r="A30" s="3"/>
      <x:c r="B30" s="262"/>
      <x:c r="C30" s="244"/>
      <x:c r="D30" s="244"/>
      <x:c r="E30" s="244"/>
      <x:c r="F30" s="244"/>
      <x:c r="G30" s="244"/>
      <x:c r="H30" s="244"/>
      <x:c r="I30" s="244"/>
      <x:c r="J30" s="244"/>
      <x:c r="K30" s="244"/>
      <x:c r="L30" s="244"/>
      <x:c r="M30" s="244"/>
      <x:c r="N30" s="244"/>
      <x:c r="O30" s="244"/>
      <x:c r="P30" s="244"/>
      <x:c r="Q30" s="244"/>
      <x:c r="R30" s="244"/>
      <x:c r="S30" s="244"/>
      <x:c r="T30" s="244"/>
      <x:c r="U30" s="261"/>
    </x:row>
    <x:row r="31">
      <x:c r="A31" s="3"/>
      <x:c r="B31" s="262"/>
      <x:c r="C31" s="244"/>
      <x:c r="D31" s="244"/>
      <x:c r="E31" s="244"/>
      <x:c r="F31" s="244"/>
      <x:c r="G31" s="244"/>
      <x:c r="H31" s="244"/>
      <x:c r="I31" s="244"/>
      <x:c r="J31" s="244"/>
      <x:c r="K31" s="244"/>
      <x:c r="L31" s="244"/>
      <x:c r="M31" s="244"/>
      <x:c r="N31" s="244"/>
      <x:c r="O31" s="244"/>
      <x:c r="P31" s="244"/>
      <x:c r="Q31" s="244"/>
      <x:c r="R31" s="244"/>
      <x:c r="S31" s="244"/>
      <x:c r="T31" s="244"/>
      <x:c r="U31" s="261"/>
    </x:row>
    <x:row r="32">
      <x:c r="A32" s="3"/>
      <x:c r="B32" s="262"/>
      <x:c r="C32" s="244"/>
      <x:c r="D32" s="244"/>
      <x:c r="E32" s="244"/>
      <x:c r="F32" s="244"/>
      <x:c r="G32" s="244"/>
      <x:c r="H32" s="244"/>
      <x:c r="I32" s="244"/>
      <x:c r="J32" s="244"/>
      <x:c r="K32" s="244"/>
      <x:c r="L32" s="244"/>
      <x:c r="M32" s="244"/>
      <x:c r="N32" s="244"/>
      <x:c r="O32" s="244"/>
      <x:c r="P32" s="244"/>
      <x:c r="Q32" s="244"/>
      <x:c r="R32" s="244"/>
      <x:c r="S32" s="244"/>
      <x:c r="T32" s="244"/>
      <x:c r="U32" s="261"/>
    </x:row>
    <x:row r="33">
      <x:c r="A33" s="3"/>
      <x:c r="B33" s="262"/>
      <x:c r="C33" s="244"/>
      <x:c r="D33" s="244"/>
      <x:c r="E33" s="244"/>
      <x:c r="F33" s="244"/>
      <x:c r="G33" s="244"/>
      <x:c r="H33" s="244"/>
      <x:c r="I33" s="244"/>
      <x:c r="J33" s="244"/>
      <x:c r="K33" s="244"/>
      <x:c r="L33" s="244"/>
      <x:c r="M33" s="244"/>
      <x:c r="N33" s="244"/>
      <x:c r="O33" s="244"/>
      <x:c r="P33" s="244"/>
      <x:c r="Q33" s="244"/>
      <x:c r="R33" s="244"/>
      <x:c r="S33" s="244"/>
      <x:c r="T33" s="244"/>
      <x:c r="U33" s="261"/>
    </x:row>
    <x:row r="34">
      <x:c r="A34" s="3"/>
      <x:c r="B34" s="262"/>
      <x:c r="C34" s="244"/>
      <x:c r="D34" s="244"/>
      <x:c r="E34" s="244"/>
      <x:c r="F34" s="244"/>
      <x:c r="G34" s="244"/>
      <x:c r="H34" s="244"/>
      <x:c r="I34" s="244"/>
      <x:c r="J34" s="244"/>
      <x:c r="K34" s="244"/>
      <x:c r="L34" s="244"/>
      <x:c r="M34" s="244"/>
      <x:c r="N34" s="244"/>
      <x:c r="O34" s="244"/>
      <x:c r="P34" s="244"/>
      <x:c r="Q34" s="244"/>
      <x:c r="R34" s="244"/>
      <x:c r="S34" s="244"/>
      <x:c r="T34" s="244"/>
      <x:c r="U34" s="261"/>
    </x:row>
    <x:row r="35">
      <x:c r="A35" s="3"/>
      <x:c r="B35" s="262"/>
      <x:c r="C35" s="244"/>
      <x:c r="D35" s="244"/>
      <x:c r="E35" s="244"/>
      <x:c r="F35" s="244"/>
      <x:c r="G35" s="244"/>
      <x:c r="H35" s="244"/>
      <x:c r="I35" s="244"/>
      <x:c r="J35" s="244"/>
      <x:c r="K35" s="244"/>
      <x:c r="L35" s="244"/>
      <x:c r="M35" s="244"/>
      <x:c r="N35" s="244"/>
      <x:c r="O35" s="244"/>
      <x:c r="P35" s="244"/>
      <x:c r="Q35" s="244"/>
      <x:c r="R35" s="244"/>
      <x:c r="S35" s="244"/>
      <x:c r="T35" s="244"/>
      <x:c r="U35" s="261"/>
    </x:row>
    <x:row r="36">
      <x:c r="A36" s="3"/>
      <x:c r="B36" s="262"/>
      <x:c r="C36" s="244"/>
      <x:c r="D36" s="244"/>
      <x:c r="E36" s="244"/>
      <x:c r="F36" s="244"/>
      <x:c r="G36" s="244"/>
      <x:c r="H36" s="244"/>
      <x:c r="I36" s="244"/>
      <x:c r="J36" s="244"/>
      <x:c r="K36" s="244"/>
      <x:c r="L36" s="244"/>
      <x:c r="M36" s="244"/>
      <x:c r="N36" s="244"/>
      <x:c r="O36" s="244"/>
      <x:c r="P36" s="244"/>
      <x:c r="Q36" s="244"/>
      <x:c r="R36" s="244"/>
      <x:c r="S36" s="244"/>
      <x:c r="T36" s="244"/>
      <x:c r="U36" s="261"/>
    </x:row>
    <x:row r="37">
      <x:c r="A37" s="3"/>
      <x:c r="B37" s="262"/>
      <x:c r="C37" s="244"/>
      <x:c r="D37" s="244"/>
      <x:c r="E37" s="244"/>
      <x:c r="F37" s="244"/>
      <x:c r="G37" s="244"/>
      <x:c r="H37" s="244"/>
      <x:c r="I37" s="244"/>
      <x:c r="J37" s="244"/>
      <x:c r="K37" s="244"/>
      <x:c r="L37" s="244"/>
      <x:c r="M37" s="244"/>
      <x:c r="N37" s="244"/>
      <x:c r="O37" s="244"/>
      <x:c r="P37" s="244"/>
      <x:c r="Q37" s="244"/>
      <x:c r="R37" s="244"/>
      <x:c r="S37" s="244"/>
      <x:c r="T37" s="244"/>
      <x:c r="U37" s="261"/>
    </x:row>
    <x:row r="38">
      <x:c r="A38" s="3"/>
      <x:c r="B38" s="262"/>
      <x:c r="C38" s="244"/>
      <x:c r="D38" s="244"/>
      <x:c r="E38" s="244"/>
      <x:c r="F38" s="244"/>
      <x:c r="G38" s="244"/>
      <x:c r="H38" s="244"/>
      <x:c r="I38" s="244"/>
      <x:c r="J38" s="244"/>
      <x:c r="K38" s="244"/>
      <x:c r="L38" s="244"/>
      <x:c r="M38" s="244"/>
      <x:c r="N38" s="244"/>
      <x:c r="O38" s="244"/>
      <x:c r="P38" s="244"/>
      <x:c r="Q38" s="244"/>
      <x:c r="R38" s="244"/>
      <x:c r="S38" s="244"/>
      <x:c r="T38" s="244"/>
      <x:c r="U38" s="261"/>
    </x:row>
    <x:row r="39">
      <x:c r="A39" s="3"/>
      <x:c r="B39" s="262"/>
      <x:c r="C39" s="244"/>
      <x:c r="D39" s="244"/>
      <x:c r="E39" s="244"/>
      <x:c r="F39" s="244"/>
      <x:c r="G39" s="244"/>
      <x:c r="H39" s="244"/>
      <x:c r="I39" s="244"/>
      <x:c r="J39" s="244"/>
      <x:c r="K39" s="244"/>
      <x:c r="L39" s="244"/>
      <x:c r="M39" s="244"/>
      <x:c r="N39" s="244"/>
      <x:c r="O39" s="244"/>
      <x:c r="P39" s="244"/>
      <x:c r="Q39" s="244"/>
      <x:c r="R39" s="244"/>
      <x:c r="S39" s="244"/>
      <x:c r="T39" s="244"/>
      <x:c r="U39" s="261"/>
    </x:row>
    <x:row r="40">
      <x:c r="A40" s="3"/>
      <x:c r="B40" s="262"/>
      <x:c r="C40" s="244"/>
      <x:c r="D40" s="244"/>
      <x:c r="E40" s="244"/>
      <x:c r="F40" s="244"/>
      <x:c r="G40" s="244"/>
      <x:c r="H40" s="244"/>
      <x:c r="I40" s="244"/>
      <x:c r="J40" s="244"/>
      <x:c r="K40" s="244"/>
      <x:c r="L40" s="244"/>
      <x:c r="M40" s="244"/>
      <x:c r="N40" s="244"/>
      <x:c r="O40" s="244"/>
      <x:c r="P40" s="244"/>
      <x:c r="Q40" s="244"/>
      <x:c r="R40" s="244"/>
      <x:c r="S40" s="244"/>
      <x:c r="T40" s="244"/>
      <x:c r="U40" s="261"/>
    </x:row>
    <x:row r="41">
      <x:c r="A41" s="3"/>
      <x:c r="B41" s="262"/>
      <x:c r="C41" s="244"/>
      <x:c r="D41" s="244"/>
      <x:c r="E41" s="244"/>
      <x:c r="F41" s="244"/>
      <x:c r="G41" s="244"/>
      <x:c r="H41" s="244"/>
      <x:c r="I41" s="244"/>
      <x:c r="J41" s="244"/>
      <x:c r="K41" s="244"/>
      <x:c r="L41" s="244"/>
      <x:c r="M41" s="244"/>
      <x:c r="N41" s="244"/>
      <x:c r="O41" s="244"/>
      <x:c r="P41" s="244"/>
      <x:c r="Q41" s="244"/>
      <x:c r="R41" s="244"/>
      <x:c r="S41" s="244"/>
      <x:c r="T41" s="244"/>
      <x:c r="U41" s="261"/>
    </x:row>
    <x:row r="42">
      <x:c r="A42" s="3"/>
      <x:c r="B42" s="262"/>
      <x:c r="C42" s="244"/>
      <x:c r="D42" s="244"/>
      <x:c r="E42" s="244"/>
      <x:c r="F42" s="244"/>
      <x:c r="G42" s="244"/>
      <x:c r="H42" s="244"/>
      <x:c r="I42" s="244"/>
      <x:c r="J42" s="244"/>
      <x:c r="K42" s="244"/>
      <x:c r="L42" s="244"/>
      <x:c r="M42" s="244"/>
      <x:c r="N42" s="244"/>
      <x:c r="O42" s="244"/>
      <x:c r="P42" s="244"/>
      <x:c r="Q42" s="244"/>
      <x:c r="R42" s="244"/>
      <x:c r="S42" s="244"/>
      <x:c r="T42" s="244"/>
      <x:c r="U42" s="261"/>
    </x:row>
    <x:row r="43">
      <x:c r="A43" s="3"/>
      <x:c r="B43" s="262"/>
      <x:c r="C43" s="244"/>
      <x:c r="D43" s="244"/>
      <x:c r="E43" s="244"/>
      <x:c r="F43" s="244"/>
      <x:c r="G43" s="244"/>
      <x:c r="H43" s="244"/>
      <x:c r="I43" s="244"/>
      <x:c r="J43" s="244"/>
      <x:c r="K43" s="244"/>
      <x:c r="L43" s="244"/>
      <x:c r="M43" s="244"/>
      <x:c r="N43" s="244"/>
      <x:c r="O43" s="244"/>
      <x:c r="P43" s="244"/>
      <x:c r="Q43" s="244"/>
      <x:c r="R43" s="244"/>
      <x:c r="S43" s="244"/>
      <x:c r="T43" s="244"/>
      <x:c r="U43" s="261"/>
    </x:row>
    <x:row r="44">
      <x:c r="A44" s="3"/>
      <x:c r="B44" s="262"/>
      <x:c r="C44" s="244"/>
      <x:c r="D44" s="244"/>
      <x:c r="E44" s="244"/>
      <x:c r="F44" s="244"/>
      <x:c r="G44" s="244"/>
      <x:c r="H44" s="244"/>
      <x:c r="I44" s="244"/>
      <x:c r="J44" s="244"/>
      <x:c r="K44" s="244"/>
      <x:c r="L44" s="244"/>
      <x:c r="M44" s="244"/>
      <x:c r="N44" s="244"/>
      <x:c r="O44" s="244"/>
      <x:c r="P44" s="244"/>
      <x:c r="Q44" s="244"/>
      <x:c r="R44" s="244"/>
      <x:c r="S44" s="244"/>
      <x:c r="T44" s="244"/>
      <x:c r="U44" s="261"/>
    </x:row>
    <x:row r="45">
      <x:c r="A45" s="3"/>
      <x:c r="B45" s="262"/>
      <x:c r="C45" s="244"/>
      <x:c r="D45" s="244"/>
      <x:c r="E45" s="244"/>
      <x:c r="F45" s="244"/>
      <x:c r="G45" s="244"/>
      <x:c r="H45" s="244"/>
      <x:c r="I45" s="244"/>
      <x:c r="J45" s="244"/>
      <x:c r="K45" s="244"/>
      <x:c r="L45" s="244"/>
      <x:c r="M45" s="244"/>
      <x:c r="N45" s="244"/>
      <x:c r="O45" s="244"/>
      <x:c r="P45" s="244"/>
      <x:c r="Q45" s="244"/>
      <x:c r="R45" s="244"/>
      <x:c r="S45" s="244"/>
      <x:c r="T45" s="244"/>
      <x:c r="U45" s="261"/>
    </x:row>
    <x:row r="46">
      <x:c r="A46" s="3"/>
      <x:c r="B46" s="262"/>
      <x:c r="C46" s="244"/>
      <x:c r="D46" s="244"/>
      <x:c r="E46" s="244"/>
      <x:c r="F46" s="244"/>
      <x:c r="G46" s="244"/>
      <x:c r="H46" s="244"/>
      <x:c r="I46" s="244"/>
      <x:c r="J46" s="244"/>
      <x:c r="K46" s="244"/>
      <x:c r="L46" s="244"/>
      <x:c r="M46" s="244"/>
      <x:c r="N46" s="244"/>
      <x:c r="O46" s="244"/>
      <x:c r="P46" s="244"/>
      <x:c r="Q46" s="244"/>
      <x:c r="R46" s="244"/>
      <x:c r="S46" s="244"/>
      <x:c r="T46" s="244"/>
      <x:c r="U46" s="261"/>
    </x:row>
    <x:row r="47">
      <x:c r="A47" s="3"/>
      <x:c r="B47" s="262"/>
      <x:c r="C47" s="244"/>
      <x:c r="D47" s="244"/>
      <x:c r="E47" s="244"/>
      <x:c r="F47" s="244"/>
      <x:c r="G47" s="244"/>
      <x:c r="H47" s="244"/>
      <x:c r="I47" s="244"/>
      <x:c r="J47" s="244"/>
      <x:c r="K47" s="244"/>
      <x:c r="L47" s="244"/>
      <x:c r="M47" s="244"/>
      <x:c r="N47" s="244"/>
      <x:c r="O47" s="244"/>
      <x:c r="P47" s="244"/>
      <x:c r="Q47" s="244"/>
      <x:c r="R47" s="244"/>
      <x:c r="S47" s="244"/>
      <x:c r="T47" s="244"/>
      <x:c r="U47" s="261"/>
    </x:row>
    <x:row r="48">
      <x:c r="A48" s="3"/>
      <x:c r="B48" s="262"/>
      <x:c r="C48" s="244"/>
      <x:c r="D48" s="244"/>
      <x:c r="E48" s="244"/>
      <x:c r="F48" s="244"/>
      <x:c r="G48" s="244"/>
      <x:c r="H48" s="244"/>
      <x:c r="I48" s="244"/>
      <x:c r="J48" s="244"/>
      <x:c r="K48" s="244"/>
      <x:c r="L48" s="244"/>
      <x:c r="M48" s="244"/>
      <x:c r="N48" s="244"/>
      <x:c r="O48" s="244"/>
      <x:c r="P48" s="244"/>
      <x:c r="Q48" s="244"/>
      <x:c r="R48" s="244"/>
      <x:c r="S48" s="244"/>
      <x:c r="T48" s="244"/>
      <x:c r="U48" s="261"/>
    </x:row>
    <x:row r="49">
      <x:c r="A49" s="3"/>
      <x:c r="B49" s="262"/>
      <x:c r="C49" s="244"/>
      <x:c r="D49" s="244"/>
      <x:c r="E49" s="244"/>
      <x:c r="F49" s="244"/>
      <x:c r="G49" s="244"/>
      <x:c r="H49" s="244"/>
      <x:c r="I49" s="244"/>
      <x:c r="J49" s="244"/>
      <x:c r="K49" s="244"/>
      <x:c r="L49" s="244"/>
      <x:c r="M49" s="244"/>
      <x:c r="N49" s="244"/>
      <x:c r="O49" s="244"/>
      <x:c r="P49" s="244"/>
      <x:c r="Q49" s="244"/>
      <x:c r="R49" s="244"/>
      <x:c r="S49" s="244"/>
      <x:c r="T49" s="244"/>
      <x:c r="U49" s="261"/>
    </x:row>
    <x:row r="50">
      <x:c r="A50" s="3"/>
      <x:c r="B50" s="262"/>
      <x:c r="C50" s="244"/>
      <x:c r="D50" s="244"/>
      <x:c r="E50" s="244"/>
      <x:c r="F50" s="244"/>
      <x:c r="G50" s="244"/>
      <x:c r="H50" s="244"/>
      <x:c r="I50" s="244"/>
      <x:c r="J50" s="244"/>
      <x:c r="K50" s="244"/>
      <x:c r="L50" s="244"/>
      <x:c r="M50" s="244"/>
      <x:c r="N50" s="244"/>
      <x:c r="O50" s="244"/>
      <x:c r="P50" s="244"/>
      <x:c r="Q50" s="244"/>
      <x:c r="R50" s="244"/>
      <x:c r="S50" s="244"/>
      <x:c r="T50" s="244"/>
      <x:c r="U50" s="261"/>
    </x:row>
    <x:row r="51">
      <x:c r="A51" s="3"/>
      <x:c r="B51" s="262"/>
      <x:c r="C51" s="244"/>
      <x:c r="D51" s="244"/>
      <x:c r="E51" s="244"/>
      <x:c r="F51" s="244"/>
      <x:c r="G51" s="244"/>
      <x:c r="H51" s="244"/>
      <x:c r="I51" s="244"/>
      <x:c r="J51" s="244"/>
      <x:c r="K51" s="244"/>
      <x:c r="L51" s="244"/>
      <x:c r="M51" s="244"/>
      <x:c r="N51" s="244"/>
      <x:c r="O51" s="244"/>
      <x:c r="P51" s="244"/>
      <x:c r="Q51" s="244"/>
      <x:c r="R51" s="244"/>
      <x:c r="S51" s="244"/>
      <x:c r="T51" s="244"/>
      <x:c r="U51" s="261"/>
    </x:row>
    <x:row r="52">
      <x:c r="A52" s="3"/>
      <x:c r="B52" s="262"/>
      <x:c r="C52" s="244"/>
      <x:c r="D52" s="244"/>
      <x:c r="E52" s="244"/>
      <x:c r="F52" s="244"/>
      <x:c r="G52" s="244"/>
      <x:c r="H52" s="244"/>
      <x:c r="I52" s="244"/>
      <x:c r="J52" s="244"/>
      <x:c r="K52" s="244"/>
      <x:c r="L52" s="244"/>
      <x:c r="M52" s="244"/>
      <x:c r="N52" s="244"/>
      <x:c r="O52" s="244"/>
      <x:c r="P52" s="244"/>
      <x:c r="Q52" s="244"/>
      <x:c r="R52" s="244"/>
      <x:c r="S52" s="244"/>
      <x:c r="T52" s="244"/>
      <x:c r="U52" s="261"/>
    </x:row>
    <x:row r="53">
      <x:c r="A53" s="3"/>
      <x:c r="B53" s="262"/>
      <x:c r="C53" s="244"/>
      <x:c r="D53" s="244"/>
      <x:c r="E53" s="244"/>
      <x:c r="F53" s="244"/>
      <x:c r="G53" s="244"/>
      <x:c r="H53" s="244"/>
      <x:c r="I53" s="244"/>
      <x:c r="J53" s="244"/>
      <x:c r="K53" s="244"/>
      <x:c r="L53" s="244"/>
      <x:c r="M53" s="244"/>
      <x:c r="N53" s="244"/>
      <x:c r="O53" s="244"/>
      <x:c r="P53" s="244"/>
      <x:c r="Q53" s="244"/>
      <x:c r="R53" s="244"/>
      <x:c r="S53" s="244"/>
      <x:c r="T53" s="244"/>
      <x:c r="U53" s="261"/>
    </x:row>
    <x:row r="54">
      <x:c r="A54" s="3"/>
      <x:c r="B54" s="262"/>
      <x:c r="C54" s="244"/>
      <x:c r="D54" s="244"/>
      <x:c r="E54" s="244"/>
      <x:c r="F54" s="244"/>
      <x:c r="G54" s="244"/>
      <x:c r="H54" s="244"/>
      <x:c r="I54" s="244"/>
      <x:c r="J54" s="244"/>
      <x:c r="K54" s="244"/>
      <x:c r="L54" s="244"/>
      <x:c r="M54" s="244"/>
      <x:c r="N54" s="244"/>
      <x:c r="O54" s="244"/>
      <x:c r="P54" s="244"/>
      <x:c r="Q54" s="244"/>
      <x:c r="R54" s="244"/>
      <x:c r="S54" s="244"/>
      <x:c r="T54" s="244"/>
      <x:c r="U54" s="261"/>
    </x:row>
    <x:row r="55">
      <x:c r="A55" s="3"/>
      <x:c r="B55" s="262"/>
      <x:c r="C55" s="244"/>
      <x:c r="D55" s="244"/>
      <x:c r="E55" s="244"/>
      <x:c r="F55" s="244"/>
      <x:c r="G55" s="244"/>
      <x:c r="H55" s="244"/>
      <x:c r="I55" s="244"/>
      <x:c r="J55" s="244"/>
      <x:c r="K55" s="244"/>
      <x:c r="L55" s="244"/>
      <x:c r="M55" s="244"/>
      <x:c r="N55" s="244"/>
      <x:c r="O55" s="244"/>
      <x:c r="P55" s="244"/>
      <x:c r="Q55" s="244"/>
      <x:c r="R55" s="244"/>
      <x:c r="S55" s="244"/>
      <x:c r="T55" s="244"/>
      <x:c r="U55" s="261"/>
    </x:row>
    <x:row r="56">
      <x:c r="A56" s="3"/>
      <x:c r="B56" s="262"/>
      <x:c r="C56" s="244"/>
      <x:c r="D56" s="244"/>
      <x:c r="E56" s="244"/>
      <x:c r="F56" s="244"/>
      <x:c r="G56" s="244"/>
      <x:c r="H56" s="244"/>
      <x:c r="I56" s="244"/>
      <x:c r="J56" s="244"/>
      <x:c r="K56" s="244"/>
      <x:c r="L56" s="244"/>
      <x:c r="M56" s="244"/>
      <x:c r="N56" s="244"/>
      <x:c r="O56" s="244"/>
      <x:c r="P56" s="244"/>
      <x:c r="Q56" s="244"/>
      <x:c r="R56" s="244"/>
      <x:c r="S56" s="244"/>
      <x:c r="T56" s="244"/>
      <x:c r="U56" s="261"/>
    </x:row>
    <x:row r="57">
      <x:c r="A57" s="3"/>
      <x:c r="B57" s="262"/>
      <x:c r="C57" s="244"/>
      <x:c r="D57" s="244"/>
      <x:c r="E57" s="244"/>
      <x:c r="F57" s="244"/>
      <x:c r="G57" s="244"/>
      <x:c r="H57" s="244"/>
      <x:c r="I57" s="244"/>
      <x:c r="J57" s="244"/>
      <x:c r="K57" s="244"/>
      <x:c r="L57" s="244"/>
      <x:c r="M57" s="244"/>
      <x:c r="N57" s="244"/>
      <x:c r="O57" s="244"/>
      <x:c r="P57" s="244"/>
      <x:c r="Q57" s="244"/>
      <x:c r="R57" s="244"/>
      <x:c r="S57" s="244"/>
      <x:c r="T57" s="244"/>
      <x:c r="U57" s="261"/>
    </x:row>
    <x:row r="58">
      <x:c r="A58" s="3"/>
      <x:c r="B58" s="262"/>
      <x:c r="C58" s="244"/>
      <x:c r="D58" s="244"/>
      <x:c r="E58" s="244"/>
      <x:c r="F58" s="244"/>
      <x:c r="G58" s="244"/>
      <x:c r="H58" s="244"/>
      <x:c r="I58" s="244"/>
      <x:c r="J58" s="244"/>
      <x:c r="K58" s="244"/>
      <x:c r="L58" s="244"/>
      <x:c r="M58" s="244"/>
      <x:c r="N58" s="244"/>
      <x:c r="O58" s="244"/>
      <x:c r="P58" s="244"/>
      <x:c r="Q58" s="244"/>
      <x:c r="R58" s="244"/>
      <x:c r="S58" s="244"/>
      <x:c r="T58" s="244"/>
      <x:c r="U58" s="261"/>
    </x:row>
    <x:row r="59">
      <x:c r="A59" s="3"/>
      <x:c r="B59" s="262"/>
      <x:c r="C59" s="244"/>
      <x:c r="D59" s="244"/>
      <x:c r="E59" s="244"/>
      <x:c r="F59" s="244"/>
      <x:c r="G59" s="244"/>
      <x:c r="H59" s="244"/>
      <x:c r="I59" s="244"/>
      <x:c r="J59" s="244"/>
      <x:c r="K59" s="244"/>
      <x:c r="L59" s="244"/>
      <x:c r="M59" s="244"/>
      <x:c r="N59" s="244"/>
      <x:c r="O59" s="244"/>
      <x:c r="P59" s="244"/>
      <x:c r="Q59" s="244"/>
      <x:c r="R59" s="244"/>
      <x:c r="S59" s="244"/>
      <x:c r="T59" s="244"/>
      <x:c r="U59" s="261"/>
    </x:row>
    <x:row r="60">
      <x:c r="A60" s="3"/>
      <x:c r="B60" s="262"/>
      <x:c r="C60" s="244"/>
      <x:c r="D60" s="244"/>
      <x:c r="E60" s="244"/>
      <x:c r="F60" s="244"/>
      <x:c r="G60" s="244"/>
      <x:c r="H60" s="244"/>
      <x:c r="I60" s="244"/>
      <x:c r="J60" s="244"/>
      <x:c r="K60" s="244"/>
      <x:c r="L60" s="244"/>
      <x:c r="M60" s="244"/>
      <x:c r="N60" s="244"/>
      <x:c r="O60" s="244"/>
      <x:c r="P60" s="244"/>
      <x:c r="Q60" s="244"/>
      <x:c r="R60" s="244"/>
      <x:c r="S60" s="244"/>
      <x:c r="T60" s="244"/>
      <x:c r="U60" s="261"/>
    </x:row>
    <x:row r="61">
      <x:c r="A61" s="3"/>
      <x:c r="B61" s="262"/>
      <x:c r="C61" s="244"/>
      <x:c r="D61" s="244"/>
      <x:c r="E61" s="244"/>
      <x:c r="F61" s="244"/>
      <x:c r="G61" s="244"/>
      <x:c r="H61" s="244"/>
      <x:c r="I61" s="244"/>
      <x:c r="J61" s="244"/>
      <x:c r="K61" s="244"/>
      <x:c r="L61" s="244"/>
      <x:c r="M61" s="244"/>
      <x:c r="N61" s="244"/>
      <x:c r="O61" s="244"/>
      <x:c r="P61" s="244"/>
      <x:c r="Q61" s="244"/>
      <x:c r="R61" s="244"/>
      <x:c r="S61" s="244"/>
      <x:c r="T61" s="244"/>
      <x:c r="U61" s="261"/>
    </x:row>
    <x:row r="62">
      <x:c r="A62" s="3"/>
      <x:c r="B62" s="262"/>
      <x:c r="C62" s="244"/>
      <x:c r="D62" s="244"/>
      <x:c r="E62" s="244"/>
      <x:c r="F62" s="244"/>
      <x:c r="G62" s="244"/>
      <x:c r="H62" s="244"/>
      <x:c r="I62" s="244"/>
      <x:c r="J62" s="244"/>
      <x:c r="K62" s="244"/>
      <x:c r="L62" s="244"/>
      <x:c r="M62" s="244"/>
      <x:c r="N62" s="244"/>
      <x:c r="O62" s="244"/>
      <x:c r="P62" s="244"/>
      <x:c r="Q62" s="244"/>
      <x:c r="R62" s="244"/>
      <x:c r="S62" s="244"/>
      <x:c r="T62" s="244"/>
      <x:c r="U62" s="261"/>
    </x:row>
    <x:row r="63">
      <x:c r="A63" s="3"/>
      <x:c r="B63" s="262"/>
      <x:c r="C63" s="244"/>
      <x:c r="D63" s="244"/>
      <x:c r="E63" s="244"/>
      <x:c r="F63" s="244"/>
      <x:c r="G63" s="244"/>
      <x:c r="H63" s="244"/>
      <x:c r="I63" s="244"/>
      <x:c r="J63" s="244"/>
      <x:c r="K63" s="244"/>
      <x:c r="L63" s="244"/>
      <x:c r="M63" s="244"/>
      <x:c r="N63" s="244"/>
      <x:c r="O63" s="244"/>
      <x:c r="P63" s="244"/>
      <x:c r="Q63" s="244"/>
      <x:c r="R63" s="244"/>
      <x:c r="S63" s="244"/>
      <x:c r="T63" s="244"/>
      <x:c r="U63" s="261"/>
    </x:row>
    <x:row r="64">
      <x:c r="A64" s="3"/>
      <x:c r="B64" s="262"/>
      <x:c r="C64" s="244"/>
      <x:c r="D64" s="244"/>
      <x:c r="E64" s="244"/>
      <x:c r="F64" s="244"/>
      <x:c r="G64" s="244"/>
      <x:c r="H64" s="244"/>
      <x:c r="I64" s="244"/>
      <x:c r="J64" s="244"/>
      <x:c r="K64" s="244"/>
      <x:c r="L64" s="244"/>
      <x:c r="M64" s="244"/>
      <x:c r="N64" s="244"/>
      <x:c r="O64" s="244"/>
      <x:c r="P64" s="244"/>
      <x:c r="Q64" s="244"/>
      <x:c r="R64" s="244"/>
      <x:c r="S64" s="244"/>
      <x:c r="T64" s="244"/>
      <x:c r="U64" s="261"/>
    </x:row>
    <x:row r="65">
      <x:c r="A65" s="3"/>
      <x:c r="B65" s="262"/>
      <x:c r="C65" s="244"/>
      <x:c r="D65" s="244"/>
      <x:c r="E65" s="244"/>
      <x:c r="F65" s="244"/>
      <x:c r="G65" s="244"/>
      <x:c r="H65" s="244"/>
      <x:c r="I65" s="244"/>
      <x:c r="J65" s="244"/>
      <x:c r="K65" s="244"/>
      <x:c r="L65" s="244"/>
      <x:c r="M65" s="244"/>
      <x:c r="N65" s="244"/>
      <x:c r="O65" s="244"/>
      <x:c r="P65" s="244"/>
      <x:c r="Q65" s="244"/>
      <x:c r="R65" s="244"/>
      <x:c r="S65" s="244"/>
      <x:c r="T65" s="244"/>
      <x:c r="U65" s="261"/>
    </x:row>
    <x:row r="66">
      <x:c r="A66" s="3"/>
      <x:c r="B66" s="262"/>
      <x:c r="C66" s="244"/>
      <x:c r="D66" s="244"/>
      <x:c r="E66" s="244"/>
      <x:c r="F66" s="244"/>
      <x:c r="G66" s="244"/>
      <x:c r="H66" s="244"/>
      <x:c r="I66" s="244"/>
      <x:c r="J66" s="244"/>
      <x:c r="K66" s="244"/>
      <x:c r="L66" s="244"/>
      <x:c r="M66" s="244"/>
      <x:c r="N66" s="244"/>
      <x:c r="O66" s="244"/>
      <x:c r="P66" s="244"/>
      <x:c r="Q66" s="244"/>
      <x:c r="R66" s="244"/>
      <x:c r="S66" s="244"/>
      <x:c r="T66" s="244"/>
      <x:c r="U66" s="261"/>
    </x:row>
    <x:row r="67">
      <x:c r="A67" s="3"/>
      <x:c r="B67" s="262"/>
      <x:c r="C67" s="244"/>
      <x:c r="D67" s="244"/>
      <x:c r="E67" s="244"/>
      <x:c r="F67" s="244"/>
      <x:c r="G67" s="244"/>
      <x:c r="H67" s="244"/>
      <x:c r="I67" s="244"/>
      <x:c r="J67" s="244"/>
      <x:c r="K67" s="244"/>
      <x:c r="L67" s="244"/>
      <x:c r="M67" s="244"/>
      <x:c r="N67" s="244"/>
      <x:c r="O67" s="244"/>
      <x:c r="P67" s="244"/>
      <x:c r="Q67" s="244"/>
      <x:c r="R67" s="244"/>
      <x:c r="S67" s="244"/>
      <x:c r="T67" s="244"/>
      <x:c r="U67" s="261"/>
    </x:row>
    <x:row r="68">
      <x:c r="A68" s="3"/>
      <x:c r="B68" s="262"/>
      <x:c r="C68" s="244"/>
      <x:c r="D68" s="244"/>
      <x:c r="E68" s="244"/>
      <x:c r="F68" s="244"/>
      <x:c r="G68" s="244"/>
      <x:c r="H68" s="244"/>
      <x:c r="I68" s="244"/>
      <x:c r="J68" s="244"/>
      <x:c r="K68" s="244"/>
      <x:c r="L68" s="244"/>
      <x:c r="M68" s="244"/>
      <x:c r="N68" s="244"/>
      <x:c r="O68" s="244"/>
      <x:c r="P68" s="244"/>
      <x:c r="Q68" s="244"/>
      <x:c r="R68" s="244"/>
      <x:c r="S68" s="244"/>
      <x:c r="T68" s="244"/>
      <x:c r="U68" s="261"/>
    </x:row>
    <x:row r="69">
      <x:c r="A69" s="3"/>
      <x:c r="B69" s="262"/>
      <x:c r="C69" s="244"/>
      <x:c r="D69" s="244"/>
      <x:c r="E69" s="244"/>
      <x:c r="F69" s="244"/>
      <x:c r="G69" s="244"/>
      <x:c r="H69" s="244"/>
      <x:c r="I69" s="244"/>
      <x:c r="J69" s="244"/>
      <x:c r="K69" s="244"/>
      <x:c r="L69" s="244"/>
      <x:c r="M69" s="244"/>
      <x:c r="N69" s="244"/>
      <x:c r="O69" s="244"/>
      <x:c r="P69" s="244"/>
      <x:c r="Q69" s="244"/>
      <x:c r="R69" s="244"/>
      <x:c r="S69" s="244"/>
      <x:c r="T69" s="244"/>
      <x:c r="U69" s="261"/>
    </x:row>
    <x:row r="70">
      <x:c r="A70" s="3"/>
      <x:c r="B70" s="262"/>
      <x:c r="C70" s="244"/>
      <x:c r="D70" s="244"/>
      <x:c r="E70" s="244"/>
      <x:c r="F70" s="244"/>
      <x:c r="G70" s="244"/>
      <x:c r="H70" s="244"/>
      <x:c r="I70" s="244"/>
      <x:c r="J70" s="244"/>
      <x:c r="K70" s="244"/>
      <x:c r="L70" s="244"/>
      <x:c r="M70" s="244"/>
      <x:c r="N70" s="244"/>
      <x:c r="O70" s="244"/>
      <x:c r="P70" s="244"/>
      <x:c r="Q70" s="244"/>
      <x:c r="R70" s="244"/>
      <x:c r="S70" s="244"/>
      <x:c r="T70" s="244"/>
      <x:c r="U70" s="261"/>
    </x:row>
    <x:row r="71">
      <x:c r="A71" s="3"/>
      <x:c r="B71" s="262"/>
      <x:c r="C71" s="244"/>
      <x:c r="D71" s="244"/>
      <x:c r="E71" s="244"/>
      <x:c r="F71" s="244"/>
      <x:c r="G71" s="244"/>
      <x:c r="H71" s="244"/>
      <x:c r="I71" s="244"/>
      <x:c r="J71" s="244"/>
      <x:c r="K71" s="244"/>
      <x:c r="L71" s="244"/>
      <x:c r="M71" s="244"/>
      <x:c r="N71" s="244"/>
      <x:c r="O71" s="244"/>
      <x:c r="P71" s="244"/>
      <x:c r="Q71" s="244"/>
      <x:c r="R71" s="244"/>
      <x:c r="S71" s="244"/>
      <x:c r="T71" s="244"/>
      <x:c r="U71" s="261"/>
    </x:row>
    <x:row r="72">
      <x:c r="A72" s="3"/>
      <x:c r="B72" s="262"/>
      <x:c r="C72" s="244"/>
      <x:c r="D72" s="244"/>
      <x:c r="E72" s="244"/>
      <x:c r="F72" s="244"/>
      <x:c r="G72" s="244"/>
      <x:c r="H72" s="244"/>
      <x:c r="I72" s="244"/>
      <x:c r="J72" s="244"/>
      <x:c r="K72" s="244"/>
      <x:c r="L72" s="244"/>
      <x:c r="M72" s="244"/>
      <x:c r="N72" s="244"/>
      <x:c r="O72" s="244"/>
      <x:c r="P72" s="244"/>
      <x:c r="Q72" s="244"/>
      <x:c r="R72" s="244"/>
      <x:c r="S72" s="244"/>
      <x:c r="T72" s="244"/>
      <x:c r="U72" s="261"/>
    </x:row>
    <x:row r="73">
      <x:c r="A73" s="3"/>
      <x:c r="B73" s="262"/>
      <x:c r="C73" s="244"/>
      <x:c r="D73" s="244"/>
      <x:c r="E73" s="244"/>
      <x:c r="F73" s="244"/>
      <x:c r="G73" s="244"/>
      <x:c r="H73" s="244"/>
      <x:c r="I73" s="244"/>
      <x:c r="J73" s="244"/>
      <x:c r="K73" s="244"/>
      <x:c r="L73" s="244"/>
      <x:c r="M73" s="244"/>
      <x:c r="N73" s="244"/>
      <x:c r="O73" s="244"/>
      <x:c r="P73" s="244"/>
      <x:c r="Q73" s="244"/>
      <x:c r="R73" s="244"/>
      <x:c r="S73" s="244"/>
      <x:c r="T73" s="244"/>
      <x:c r="U73" s="261"/>
    </x:row>
    <x:row r="74">
      <x:c r="A74" s="3"/>
      <x:c r="B74" s="262"/>
      <x:c r="C74" s="244"/>
      <x:c r="D74" s="244"/>
      <x:c r="E74" s="244"/>
      <x:c r="F74" s="244"/>
      <x:c r="G74" s="244"/>
      <x:c r="H74" s="244"/>
      <x:c r="I74" s="244"/>
      <x:c r="J74" s="244"/>
      <x:c r="K74" s="244"/>
      <x:c r="L74" s="244"/>
      <x:c r="M74" s="244"/>
      <x:c r="N74" s="244"/>
      <x:c r="O74" s="244"/>
      <x:c r="P74" s="244"/>
      <x:c r="Q74" s="244"/>
      <x:c r="R74" s="244"/>
      <x:c r="S74" s="244"/>
      <x:c r="T74" s="244"/>
      <x:c r="U74" s="261"/>
    </x:row>
    <x:row r="75">
      <x:c r="A75" s="3"/>
      <x:c r="B75" s="262"/>
      <x:c r="C75" s="244"/>
      <x:c r="D75" s="244"/>
      <x:c r="E75" s="244"/>
      <x:c r="F75" s="244"/>
      <x:c r="G75" s="244"/>
      <x:c r="H75" s="244"/>
      <x:c r="I75" s="244"/>
      <x:c r="J75" s="244"/>
      <x:c r="K75" s="244"/>
      <x:c r="L75" s="244"/>
      <x:c r="M75" s="244"/>
      <x:c r="N75" s="244"/>
      <x:c r="O75" s="244"/>
      <x:c r="P75" s="244"/>
      <x:c r="Q75" s="244"/>
      <x:c r="R75" s="244"/>
      <x:c r="S75" s="244"/>
      <x:c r="T75" s="244"/>
      <x:c r="U75" s="261"/>
    </x:row>
    <x:row r="76">
      <x:c r="A76" s="3"/>
      <x:c r="B76" s="262"/>
      <x:c r="C76" s="244"/>
      <x:c r="D76" s="244"/>
      <x:c r="E76" s="244"/>
      <x:c r="F76" s="244"/>
      <x:c r="G76" s="244"/>
      <x:c r="H76" s="244"/>
      <x:c r="I76" s="244"/>
      <x:c r="J76" s="244"/>
      <x:c r="K76" s="244"/>
      <x:c r="L76" s="244"/>
      <x:c r="M76" s="244"/>
      <x:c r="N76" s="244"/>
      <x:c r="O76" s="244"/>
      <x:c r="P76" s="244"/>
      <x:c r="Q76" s="244"/>
      <x:c r="R76" s="244"/>
      <x:c r="S76" s="244"/>
      <x:c r="T76" s="244"/>
      <x:c r="U76" s="261"/>
    </x:row>
    <x:row r="77">
      <x:c r="A77" s="3"/>
      <x:c r="B77" s="262"/>
      <x:c r="C77" s="244"/>
      <x:c r="D77" s="244"/>
      <x:c r="E77" s="244"/>
      <x:c r="F77" s="244"/>
      <x:c r="G77" s="244"/>
      <x:c r="H77" s="244"/>
      <x:c r="I77" s="244"/>
      <x:c r="J77" s="244"/>
      <x:c r="K77" s="244"/>
      <x:c r="L77" s="244"/>
      <x:c r="M77" s="244"/>
      <x:c r="N77" s="244"/>
      <x:c r="O77" s="244"/>
      <x:c r="P77" s="244"/>
      <x:c r="Q77" s="244"/>
      <x:c r="R77" s="244"/>
      <x:c r="S77" s="244"/>
      <x:c r="T77" s="244"/>
      <x:c r="U77" s="261"/>
    </x:row>
    <x:row r="78">
      <x:c r="A78" s="3"/>
      <x:c r="B78" s="262"/>
      <x:c r="C78" s="244"/>
      <x:c r="D78" s="244"/>
      <x:c r="E78" s="244"/>
      <x:c r="F78" s="244"/>
      <x:c r="G78" s="244"/>
      <x:c r="H78" s="244"/>
      <x:c r="I78" s="244"/>
      <x:c r="J78" s="244"/>
      <x:c r="K78" s="244"/>
      <x:c r="L78" s="244"/>
      <x:c r="M78" s="244"/>
      <x:c r="N78" s="244"/>
      <x:c r="O78" s="244"/>
      <x:c r="P78" s="244"/>
      <x:c r="Q78" s="244"/>
      <x:c r="R78" s="244"/>
      <x:c r="S78" s="244"/>
      <x:c r="T78" s="244"/>
      <x:c r="U78" s="261"/>
    </x:row>
    <x:row r="79">
      <x:c r="A79" s="3"/>
      <x:c r="B79" s="262"/>
      <x:c r="C79" s="244"/>
      <x:c r="D79" s="244"/>
      <x:c r="E79" s="244"/>
      <x:c r="F79" s="244"/>
      <x:c r="G79" s="244"/>
      <x:c r="H79" s="244"/>
      <x:c r="I79" s="244"/>
      <x:c r="J79" s="244"/>
      <x:c r="K79" s="244"/>
      <x:c r="L79" s="244"/>
      <x:c r="M79" s="244"/>
      <x:c r="N79" s="244"/>
      <x:c r="O79" s="244"/>
      <x:c r="P79" s="244"/>
      <x:c r="Q79" s="244"/>
      <x:c r="R79" s="244"/>
      <x:c r="S79" s="244"/>
      <x:c r="T79" s="244"/>
      <x:c r="U79" s="261"/>
    </x:row>
    <x:row r="80">
      <x:c r="A80" s="3"/>
      <x:c r="B80" s="262"/>
      <x:c r="C80" s="244"/>
      <x:c r="D80" s="244"/>
      <x:c r="E80" s="244"/>
      <x:c r="F80" s="244"/>
      <x:c r="G80" s="244"/>
      <x:c r="H80" s="244"/>
      <x:c r="I80" s="244"/>
      <x:c r="J80" s="244"/>
      <x:c r="K80" s="244"/>
      <x:c r="L80" s="244"/>
      <x:c r="M80" s="244"/>
      <x:c r="N80" s="244"/>
      <x:c r="O80" s="244"/>
      <x:c r="P80" s="244"/>
      <x:c r="Q80" s="244"/>
      <x:c r="R80" s="244"/>
      <x:c r="S80" s="244"/>
      <x:c r="T80" s="244"/>
      <x:c r="U80" s="261"/>
    </x:row>
    <x:row r="81">
      <x:c r="A81" s="3"/>
      <x:c r="B81" s="262"/>
      <x:c r="C81" s="244"/>
      <x:c r="D81" s="244"/>
      <x:c r="E81" s="244"/>
      <x:c r="F81" s="244"/>
      <x:c r="G81" s="244"/>
      <x:c r="H81" s="244"/>
      <x:c r="I81" s="244"/>
      <x:c r="J81" s="244"/>
      <x:c r="K81" s="244"/>
      <x:c r="L81" s="244"/>
      <x:c r="M81" s="244"/>
      <x:c r="N81" s="244"/>
      <x:c r="O81" s="244"/>
      <x:c r="P81" s="244"/>
      <x:c r="Q81" s="244"/>
      <x:c r="R81" s="244"/>
      <x:c r="S81" s="244"/>
      <x:c r="T81" s="244"/>
      <x:c r="U81" s="261"/>
    </x:row>
    <x:row r="82">
      <x:c r="A82" s="3"/>
      <x:c r="B82" s="262"/>
      <x:c r="C82" s="244"/>
      <x:c r="D82" s="244"/>
      <x:c r="E82" s="244"/>
      <x:c r="F82" s="244"/>
      <x:c r="G82" s="244"/>
      <x:c r="H82" s="244"/>
      <x:c r="I82" s="244"/>
      <x:c r="J82" s="244"/>
      <x:c r="K82" s="244"/>
      <x:c r="L82" s="244"/>
      <x:c r="M82" s="244"/>
      <x:c r="N82" s="244"/>
      <x:c r="O82" s="244"/>
      <x:c r="P82" s="244"/>
      <x:c r="Q82" s="244"/>
      <x:c r="R82" s="244"/>
      <x:c r="S82" s="244"/>
      <x:c r="T82" s="244"/>
      <x:c r="U82" s="261"/>
    </x:row>
    <x:row r="83">
      <x:c r="A83" s="3"/>
      <x:c r="B83" s="262"/>
      <x:c r="C83" s="244"/>
      <x:c r="D83" s="244"/>
      <x:c r="E83" s="244"/>
      <x:c r="F83" s="244"/>
      <x:c r="G83" s="244"/>
      <x:c r="H83" s="244"/>
      <x:c r="I83" s="244"/>
      <x:c r="J83" s="244"/>
      <x:c r="K83" s="244"/>
      <x:c r="L83" s="244"/>
      <x:c r="M83" s="244"/>
      <x:c r="N83" s="244"/>
      <x:c r="O83" s="244"/>
      <x:c r="P83" s="244"/>
      <x:c r="Q83" s="244"/>
      <x:c r="R83" s="244"/>
      <x:c r="S83" s="244"/>
      <x:c r="T83" s="244"/>
      <x:c r="U83" s="261"/>
    </x:row>
    <x:row r="84">
      <x:c r="A84" s="3"/>
      <x:c r="B84" s="262"/>
      <x:c r="C84" s="244"/>
      <x:c r="D84" s="244"/>
      <x:c r="E84" s="244"/>
      <x:c r="F84" s="244"/>
      <x:c r="G84" s="244"/>
      <x:c r="H84" s="244"/>
      <x:c r="I84" s="244"/>
      <x:c r="J84" s="244"/>
      <x:c r="K84" s="244"/>
      <x:c r="L84" s="244"/>
      <x:c r="M84" s="244"/>
      <x:c r="N84" s="244"/>
      <x:c r="O84" s="244"/>
      <x:c r="P84" s="244"/>
      <x:c r="Q84" s="244"/>
      <x:c r="R84" s="244"/>
      <x:c r="S84" s="244"/>
      <x:c r="T84" s="244"/>
      <x:c r="U84" s="261"/>
    </x:row>
    <x:row r="85">
      <x:c r="A85" s="3"/>
      <x:c r="B85" s="262"/>
      <x:c r="C85" s="244"/>
      <x:c r="D85" s="244"/>
      <x:c r="E85" s="244"/>
      <x:c r="F85" s="244"/>
      <x:c r="G85" s="244"/>
      <x:c r="H85" s="244"/>
      <x:c r="I85" s="244"/>
      <x:c r="J85" s="244"/>
      <x:c r="K85" s="244"/>
      <x:c r="L85" s="244"/>
      <x:c r="M85" s="244"/>
      <x:c r="N85" s="244"/>
      <x:c r="O85" s="244"/>
      <x:c r="P85" s="244"/>
      <x:c r="Q85" s="244"/>
      <x:c r="R85" s="244"/>
      <x:c r="S85" s="244"/>
      <x:c r="T85" s="244"/>
      <x:c r="U85" s="261"/>
    </x:row>
    <x:row r="86">
      <x:c r="A86" s="3"/>
      <x:c r="B86" s="262"/>
      <x:c r="C86" s="244"/>
      <x:c r="D86" s="244"/>
      <x:c r="E86" s="244"/>
      <x:c r="F86" s="244"/>
      <x:c r="G86" s="244"/>
      <x:c r="H86" s="244"/>
      <x:c r="I86" s="244"/>
      <x:c r="J86" s="244"/>
      <x:c r="K86" s="244"/>
      <x:c r="L86" s="244"/>
      <x:c r="M86" s="244"/>
      <x:c r="N86" s="244"/>
      <x:c r="O86" s="244"/>
      <x:c r="P86" s="244"/>
      <x:c r="Q86" s="244"/>
      <x:c r="R86" s="244"/>
      <x:c r="S86" s="244"/>
      <x:c r="T86" s="244"/>
      <x:c r="U86" s="261"/>
    </x:row>
    <x:row r="87">
      <x:c r="A87" s="3"/>
      <x:c r="B87" s="262"/>
      <x:c r="C87" s="244"/>
      <x:c r="D87" s="244"/>
      <x:c r="E87" s="244"/>
      <x:c r="F87" s="244"/>
      <x:c r="G87" s="244"/>
      <x:c r="H87" s="244"/>
      <x:c r="I87" s="244"/>
      <x:c r="J87" s="244"/>
      <x:c r="K87" s="244"/>
      <x:c r="L87" s="244"/>
      <x:c r="M87" s="244"/>
      <x:c r="N87" s="244"/>
      <x:c r="O87" s="244"/>
      <x:c r="P87" s="244"/>
      <x:c r="Q87" s="244"/>
      <x:c r="R87" s="244"/>
      <x:c r="S87" s="244"/>
      <x:c r="T87" s="244"/>
      <x:c r="U87" s="261"/>
    </x:row>
    <x:row r="88">
      <x:c r="A88" s="3"/>
      <x:c r="B88" s="262"/>
      <x:c r="C88" s="244"/>
      <x:c r="D88" s="244"/>
      <x:c r="E88" s="244"/>
      <x:c r="F88" s="244"/>
      <x:c r="G88" s="244"/>
      <x:c r="H88" s="244"/>
      <x:c r="I88" s="244"/>
      <x:c r="J88" s="244"/>
      <x:c r="K88" s="244"/>
      <x:c r="L88" s="244"/>
      <x:c r="M88" s="244"/>
      <x:c r="N88" s="244"/>
      <x:c r="O88" s="244"/>
      <x:c r="P88" s="244"/>
      <x:c r="Q88" s="244"/>
      <x:c r="R88" s="244"/>
      <x:c r="S88" s="244"/>
      <x:c r="T88" s="244"/>
      <x:c r="U88" s="261"/>
    </x:row>
    <x:row r="89">
      <x:c r="A89" s="3"/>
      <x:c r="B89" s="262"/>
      <x:c r="C89" s="244"/>
      <x:c r="D89" s="244"/>
      <x:c r="E89" s="244"/>
      <x:c r="F89" s="244"/>
      <x:c r="G89" s="244"/>
      <x:c r="H89" s="244"/>
      <x:c r="I89" s="244"/>
      <x:c r="J89" s="244"/>
      <x:c r="K89" s="244"/>
      <x:c r="L89" s="244"/>
      <x:c r="M89" s="244"/>
      <x:c r="N89" s="244"/>
      <x:c r="O89" s="244"/>
      <x:c r="P89" s="244"/>
      <x:c r="Q89" s="244"/>
      <x:c r="R89" s="244"/>
      <x:c r="S89" s="244"/>
      <x:c r="T89" s="244"/>
      <x:c r="U89" s="261"/>
    </x:row>
    <x:row r="90">
      <x:c r="A90" s="3"/>
      <x:c r="B90" s="266"/>
      <x:c r="C90" s="267"/>
      <x:c r="D90" s="267"/>
      <x:c r="E90" s="267"/>
      <x:c r="F90" s="267"/>
      <x:c r="G90" s="267"/>
      <x:c r="H90" s="267"/>
      <x:c r="I90" s="267"/>
      <x:c r="J90" s="267"/>
      <x:c r="K90" s="267"/>
      <x:c r="L90" s="267"/>
      <x:c r="M90" s="267"/>
      <x:c r="N90" s="267"/>
      <x:c r="O90" s="267"/>
      <x:c r="P90" s="267"/>
      <x:c r="Q90" s="267"/>
      <x:c r="R90" s="267"/>
      <x:c r="S90" s="267"/>
      <x:c r="T90" s="267"/>
      <x:c r="U90" s="268"/>
    </x:row>
  </x:sheetData>
  <x:mergeCells>
    <x:mergeCell ref="B2:K2"/>
    <x:mergeCell ref="B3:K3"/>
    <x:mergeCell ref="B4:K4"/>
    <x:mergeCell ref="B6:K6"/>
    <x:mergeCell ref="C7:K7"/>
    <x:mergeCell ref="C8:K8"/>
    <x:mergeCell ref="C9:K9"/>
    <x:mergeCell ref="C10:K10"/>
    <x:mergeCell ref="C11:K11"/>
    <x:mergeCell ref="C12:K12"/>
    <x:mergeCell ref="C13:K13"/>
    <x:mergeCell ref="C14:K14"/>
    <x:mergeCell ref="B16:K16"/>
    <x:mergeCell ref="C17:K17"/>
    <x:mergeCell ref="C18:K18"/>
    <x:mergeCell ref="C19:K19"/>
    <x:mergeCell ref="C20:K20"/>
    <x:mergeCell ref="C21:K21"/>
    <x:mergeCell ref="B23:K23"/>
    <x:mergeCell ref="B24:K24"/>
    <x:mergeCell ref="B25:K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.6700000762939453" hidden="0" customWidth="1"/>
    <x:col min="2" max="2" width="20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7.780000686645508" hidden="0" customWidth="1"/>
    <x:col min="8" max="8" width="25.559999465942383" hidden="0" customWidth="1"/>
    <x:col min="9" max="9" width="18.889999389648438" hidden="0" customWidth="1"/>
    <x:col min="10" max="10" width="23.329999923706055" hidden="0" customWidth="1"/>
    <x:col min="11" max="11" width="20" hidden="0" customWidth="1"/>
    <x:col min="12" max="12" width="17.780000686645508" hidden="0" customWidth="1"/>
    <x:col min="13" max="13" width="16.670000076293945" hidden="0" customWidth="1"/>
    <x:col min="14" max="14" width="16.670000076293945" hidden="0" customWidth="1"/>
    <x:col min="15" max="15" width="16.670000076293945" hidden="0" customWidth="1"/>
    <x:col min="16" max="16" width="16.670000076293945" hidden="0" customWidth="1"/>
    <x:col min="17" max="17" width="16.670000076293945" hidden="0" customWidth="1"/>
    <x:col min="18" max="18" width="16.670000076293945" hidden="0" customWidth="1"/>
    <x:col min="19" max="19" width="16.670000076293945" hidden="0" customWidth="1"/>
    <x:col min="20" max="20" width="16.670000076293945" hidden="0" customWidth="1"/>
    <x:col min="21" max="21" width="16.670000076293945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>
      <x:c r="A2" s="3"/>
      <x:c r="B2" s="230" t="str">
        <x:v>Dashboard</x:v>
      </x:c>
      <x:c r="C2" s="231" t="str"/>
      <x:c r="D2" s="231" t="str"/>
      <x:c r="E2" s="231" t="str"/>
      <x:c r="F2" s="231" t="str"/>
      <x:c r="G2" s="231" t="str"/>
      <x:c r="H2" s="231" t="str"/>
      <x:c r="I2" s="231" t="str"/>
      <x:c r="J2" s="231" t="str"/>
      <x:c r="K2" s="232" t="str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>
      <x:c r="A3" s="3"/>
      <x:c r="B3" s="233" t="str">
        <x:v>Choose any reporting period and see where the money went.</x:v>
      </x:c>
      <x:c r="C3" s="6" t="str"/>
      <x:c r="D3" s="6" t="str"/>
      <x:c r="E3" s="6" t="str"/>
      <x:c r="F3" s="6" t="str"/>
      <x:c r="G3" s="6" t="str"/>
      <x:c r="H3" s="6" t="str"/>
      <x:c r="I3" s="6" t="str"/>
      <x:c r="J3" s="6" t="str"/>
      <x:c r="K3" s="234" t="str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>
      <x:c r="A4" s="3"/>
      <x:c r="B4" s="235" t="str">
        <x:v>Change the start and end dates to review one month, several months, or year-to-date.</x:v>
      </x:c>
      <x:c r="C4" s="236" t="str"/>
      <x:c r="D4" s="236" t="str"/>
      <x:c r="E4" s="236" t="str"/>
      <x:c r="F4" s="236" t="str"/>
      <x:c r="G4" s="236" t="str"/>
      <x:c r="H4" s="236" t="str"/>
      <x:c r="I4" s="236" t="str"/>
      <x:c r="J4" s="236" t="str"/>
      <x:c r="K4" s="237" t="str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</x:row>
    <x:row r="6">
      <x:c r="A6" s="3"/>
      <x:c r="B6" s="256" t="str">
        <x:v>Reporting Period</x:v>
      </x:c>
      <x:c r="C6" s="257" t="str">
        <x:v>Reporting Period</x:v>
      </x:c>
      <x:c r="D6" s="257" t="str">
        <x:v>Reporting Period</x:v>
      </x:c>
      <x:c r="E6" s="257" t="str">
        <x:v>Reporting Period</x:v>
      </x:c>
      <x:c r="F6" s="257" t="str">
        <x:v>Reporting Period</x:v>
      </x:c>
      <x:c r="G6" s="257" t="str">
        <x:v>Reporting Period</x:v>
      </x:c>
      <x:c r="H6" s="257" t="str">
        <x:v>Reporting Period</x:v>
      </x:c>
      <x:c r="I6" s="257" t="str">
        <x:v>Reporting Period</x:v>
      </x:c>
      <x:c r="J6" s="257" t="str">
        <x:v>Reporting Period</x:v>
      </x:c>
      <x:c r="K6" s="257" t="str">
        <x:v>Reporting Period</x:v>
      </x:c>
      <x:c r="L6" s="258"/>
      <x:c r="M6" s="258"/>
      <x:c r="N6" s="258"/>
      <x:c r="O6" s="258"/>
      <x:c r="P6" s="258"/>
      <x:c r="Q6" s="258"/>
      <x:c r="R6" s="258"/>
      <x:c r="S6" s="258"/>
      <x:c r="T6" s="258"/>
      <x:c r="U6" s="259"/>
    </x:row>
    <x:row r="7">
      <x:c r="A7" s="3"/>
      <x:c r="B7" s="293" t="str">
        <x:v>Start Date</x:v>
      </x:c>
      <x:c r="C7" s="270" t="n">
        <x:v>46023</x:v>
      </x:c>
      <x:c r="D7" s="270" t="str">
        <x:v>End Date</x:v>
      </x:c>
      <x:c r="E7" s="270" t="n">
        <x:v>46203</x:v>
      </x:c>
      <x:c r="F7" s="243" t="str">
        <x:v>Quick use</x:v>
      </x:c>
      <x:c r="G7" s="243" t="str">
        <x:v>Change these two dates</x:v>
      </x:c>
      <x:c r="H7" s="244"/>
      <x:c r="I7" s="244"/>
      <x:c r="J7" s="244"/>
      <x:c r="K7" s="244"/>
      <x:c r="L7" s="244"/>
      <x:c r="M7" s="244"/>
      <x:c r="N7" s="244"/>
      <x:c r="O7" s="244"/>
      <x:c r="P7" s="244"/>
      <x:c r="Q7" s="244"/>
      <x:c r="R7" s="244"/>
      <x:c r="S7" s="244"/>
      <x:c r="T7" s="244"/>
      <x:c r="U7" s="261"/>
    </x:row>
    <x:row r="8">
      <x:c r="A8" s="3"/>
      <x:c r="B8" s="293" t="str">
        <x:v>Examples</x:v>
      </x:c>
      <x:c r="C8" s="243" t="str">
        <x:v>Jan 1 to Jan 31</x:v>
      </x:c>
      <x:c r="D8" s="243" t="str"/>
      <x:c r="E8" s="243" t="str">
        <x:v>Jan 1 to Jun 30</x:v>
      </x:c>
      <x:c r="F8" s="243" t="str"/>
      <x:c r="G8" s="243" t="str">
        <x:v>Any custom period works</x:v>
      </x:c>
      <x:c r="H8" s="244"/>
      <x:c r="I8" s="244"/>
      <x:c r="J8" s="244"/>
      <x:c r="K8" s="244"/>
      <x:c r="L8" s="244"/>
      <x:c r="M8" s="244"/>
      <x:c r="N8" s="244"/>
      <x:c r="O8" s="244"/>
      <x:c r="P8" s="244"/>
      <x:c r="Q8" s="244"/>
      <x:c r="R8" s="244"/>
      <x:c r="S8" s="244"/>
      <x:c r="T8" s="244"/>
      <x:c r="U8" s="261"/>
    </x:row>
    <x:row r="9">
      <x:c r="A9" s="3"/>
      <x:c r="B9" s="262"/>
      <x:c r="C9" s="244"/>
      <x:c r="D9" s="244"/>
      <x:c r="E9" s="244"/>
      <x:c r="F9" s="244"/>
      <x:c r="G9" s="244"/>
      <x:c r="H9" s="244"/>
      <x:c r="I9" s="244"/>
      <x:c r="J9" s="244"/>
      <x:c r="K9" s="244"/>
      <x:c r="L9" s="244"/>
      <x:c r="M9" s="244"/>
      <x:c r="N9" s="244"/>
      <x:c r="O9" s="244"/>
      <x:c r="P9" s="244"/>
      <x:c r="Q9" s="244"/>
      <x:c r="R9" s="244"/>
      <x:c r="S9" s="244"/>
      <x:c r="T9" s="244"/>
      <x:c r="U9" s="261"/>
    </x:row>
    <x:row r="10">
      <x:c r="A10" s="3"/>
      <x:c r="B10" s="263" t="str">
        <x:v>Money Snapshot</x:v>
      </x:c>
      <x:c r="C10" s="248" t="str">
        <x:v>Money Snapshot</x:v>
      </x:c>
      <x:c r="D10" s="248" t="str">
        <x:v>Money Snapshot</x:v>
      </x:c>
      <x:c r="E10" s="248" t="str">
        <x:v>Money Snapshot</x:v>
      </x:c>
      <x:c r="F10" s="248" t="str">
        <x:v>Money Snapshot</x:v>
      </x:c>
      <x:c r="G10" s="248" t="str">
        <x:v>Money Snapshot</x:v>
      </x:c>
      <x:c r="H10" s="248" t="str">
        <x:v>Money Snapshot</x:v>
      </x:c>
      <x:c r="I10" s="248" t="str">
        <x:v>Money Snapshot</x:v>
      </x:c>
      <x:c r="J10" s="248" t="str">
        <x:v>Money Snapshot</x:v>
      </x:c>
      <x:c r="K10" s="248" t="str">
        <x:v>Money Snapshot</x:v>
      </x:c>
      <x:c r="L10" s="244"/>
      <x:c r="M10" s="244"/>
      <x:c r="N10" s="244"/>
      <x:c r="O10" s="244"/>
      <x:c r="P10" s="244"/>
      <x:c r="Q10" s="244"/>
      <x:c r="R10" s="244"/>
      <x:c r="S10" s="244"/>
      <x:c r="T10" s="244"/>
      <x:c r="U10" s="261"/>
    </x:row>
    <x:row r="11">
      <x:c r="A11" s="3"/>
      <x:c r="B11" s="294" t="str">
        <x:v>Actual income</x:v>
      </x:c>
      <x:c r="C11" s="272" t="str"/>
      <x:c r="D11" s="273" t="str">
        <x:v>Actual spending</x:v>
      </x:c>
      <x:c r="E11" s="273" t="str"/>
      <x:c r="F11" s="274" t="str">
        <x:v>True flex cash</x:v>
      </x:c>
      <x:c r="G11" s="274" t="str"/>
      <x:c r="H11" s="275" t="str">
        <x:v>Savings rate</x:v>
      </x:c>
      <x:c r="I11" s="275" t="str"/>
      <x:c r="J11" s="276" t="str">
        <x:v>Largest expense</x:v>
      </x:c>
      <x:c r="K11" s="276" t="str"/>
      <x:c r="L11" s="244"/>
      <x:c r="M11" s="244"/>
      <x:c r="N11" s="244"/>
      <x:c r="O11" s="244"/>
      <x:c r="P11" s="244"/>
      <x:c r="Q11" s="244"/>
      <x:c r="R11" s="244"/>
      <x:c r="S11" s="244"/>
      <x:c r="T11" s="244"/>
      <x:c r="U11" s="261"/>
    </x:row>
    <x:row r="12">
      <x:c r="A12" s="3"/>
      <x:c r="B12" s="295" t="n">
        <x:f>SUMIFS('Daily Log'!E:E,'Daily Log'!F:F,"Income",'Daily Log'!B:B,"&gt;="&amp;C7,'Daily Log'!B:B,"&lt;="&amp;E7)</x:f>
        <x:v>19475</x:v>
      </x:c>
      <x:c r="C12" s="278" t="str"/>
      <x:c r="D12" s="279" t="n">
        <x:f>SUMIFS('Daily Log'!E:E,'Daily Log'!F:F,"Expense",'Daily Log'!B:B,"&gt;="&amp;C7,'Daily Log'!B:B,"&lt;="&amp;E7)</x:f>
        <x:v>11064</x:v>
      </x:c>
      <x:c r="E12" s="279" t="str"/>
      <x:c r="F12" s="280" t="n">
        <x:f>B12-D12</x:f>
        <x:v>8411</x:v>
      </x:c>
      <x:c r="G12" s="280" t="str"/>
      <x:c r="H12" s="281" t="n">
        <x:f>IF(B12=0,0,SUMIFS('Daily Log'!E:E,'Daily Log'!D:D,"Savings Transfers",'Daily Log'!B:B,"&gt;="&amp;C7,'Daily Log'!B:B,"&lt;="&amp;E7)/B12)</x:f>
        <x:v>0</x:v>
      </x:c>
      <x:c r="I12" s="281" t="str"/>
      <x:c r="J12" s="282" t="str">
        <x:f>INDEX(B18:B35,MATCH(MAX(D18:D35),D18:D35,0))</x:f>
        <x:v>Housing</x:v>
      </x:c>
      <x:c r="K12" s="282" t="str"/>
      <x:c r="L12" s="244"/>
      <x:c r="M12" s="244"/>
      <x:c r="N12" s="244"/>
      <x:c r="O12" s="244"/>
      <x:c r="P12" s="244"/>
      <x:c r="Q12" s="244"/>
      <x:c r="R12" s="244"/>
      <x:c r="S12" s="244"/>
      <x:c r="T12" s="244"/>
      <x:c r="U12" s="261"/>
    </x:row>
    <x:row r="13">
      <x:c r="A13" s="3"/>
      <x:c r="B13" s="295" t="str"/>
      <x:c r="C13" s="278" t="str"/>
      <x:c r="D13" s="279" t="str"/>
      <x:c r="E13" s="279" t="str"/>
      <x:c r="F13" s="280" t="str"/>
      <x:c r="G13" s="280" t="str"/>
      <x:c r="H13" s="281" t="str"/>
      <x:c r="I13" s="281" t="str"/>
      <x:c r="J13" s="282" t="str"/>
      <x:c r="K13" s="282" t="str"/>
      <x:c r="L13" s="244"/>
      <x:c r="M13" s="244"/>
      <x:c r="N13" s="244"/>
      <x:c r="O13" s="244"/>
      <x:c r="P13" s="244"/>
      <x:c r="Q13" s="244"/>
      <x:c r="R13" s="244"/>
      <x:c r="S13" s="244"/>
      <x:c r="T13" s="244"/>
      <x:c r="U13" s="261"/>
    </x:row>
    <x:row r="14">
      <x:c r="A14" s="3"/>
      <x:c r="B14" s="262"/>
      <x:c r="C14" s="244"/>
      <x:c r="D14" s="244"/>
      <x:c r="E14" s="244"/>
      <x:c r="F14" s="244"/>
      <x:c r="G14" s="244"/>
      <x:c r="H14" s="244"/>
      <x:c r="I14" s="244"/>
      <x:c r="J14" s="244"/>
      <x:c r="K14" s="244"/>
      <x:c r="L14" s="244"/>
      <x:c r="M14" s="244"/>
      <x:c r="N14" s="244"/>
      <x:c r="O14" s="244"/>
      <x:c r="P14" s="244"/>
      <x:c r="Q14" s="244"/>
      <x:c r="R14" s="244"/>
      <x:c r="S14" s="244"/>
      <x:c r="T14" s="244"/>
      <x:c r="U14" s="261"/>
    </x:row>
    <x:row r="15">
      <x:c r="A15" s="3"/>
      <x:c r="B15" s="262"/>
      <x:c r="C15" s="244"/>
      <x:c r="D15" s="244"/>
      <x:c r="E15" s="244"/>
      <x:c r="F15" s="244"/>
      <x:c r="G15" s="244"/>
      <x:c r="H15" s="244"/>
      <x:c r="I15" s="244"/>
      <x:c r="J15" s="244"/>
      <x:c r="K15" s="244"/>
      <x:c r="L15" s="244"/>
      <x:c r="M15" s="244"/>
      <x:c r="N15" s="244"/>
      <x:c r="O15" s="244"/>
      <x:c r="P15" s="244"/>
      <x:c r="Q15" s="244"/>
      <x:c r="R15" s="244"/>
      <x:c r="S15" s="244"/>
      <x:c r="T15" s="244"/>
      <x:c r="U15" s="261"/>
    </x:row>
    <x:row r="16">
      <x:c r="A16" s="3"/>
      <x:c r="B16" s="263" t="str">
        <x:v>Category Analysis</x:v>
      </x:c>
      <x:c r="C16" s="248" t="str">
        <x:v>Category Analysis</x:v>
      </x:c>
      <x:c r="D16" s="248" t="str">
        <x:v>Category Analysis</x:v>
      </x:c>
      <x:c r="E16" s="248" t="str">
        <x:v>Category Analysis</x:v>
      </x:c>
      <x:c r="F16" s="248" t="str">
        <x:v>Category Analysis</x:v>
      </x:c>
      <x:c r="G16" s="248" t="str">
        <x:v>Category Analysis</x:v>
      </x:c>
      <x:c r="H16" s="244"/>
      <x:c r="I16" s="248" t="str">
        <x:v>Period Insight</x:v>
      </x:c>
      <x:c r="J16" s="248" t="str">
        <x:v>Period Insight</x:v>
      </x:c>
      <x:c r="K16" s="248" t="str">
        <x:v>Period Insight</x:v>
      </x:c>
      <x:c r="L16" s="244"/>
      <x:c r="M16" s="244"/>
      <x:c r="N16" s="244"/>
      <x:c r="O16" s="244"/>
      <x:c r="P16" s="244"/>
      <x:c r="Q16" s="244"/>
      <x:c r="R16" s="244"/>
      <x:c r="S16" s="244"/>
      <x:c r="T16" s="244"/>
      <x:c r="U16" s="261"/>
    </x:row>
    <x:row r="17">
      <x:c r="A17" s="3"/>
      <x:c r="B17" s="337" t="str">
        <x:v>Category</x:v>
      </x:c>
      <x:c r="C17" s="338" t="str">
        <x:v>Budget</x:v>
      </x:c>
      <x:c r="D17" s="338" t="str">
        <x:v>Actual</x:v>
      </x:c>
      <x:c r="E17" s="338" t="str">
        <x:v>% of Income</x:v>
      </x:c>
      <x:c r="F17" s="338" t="str">
        <x:v>Variance</x:v>
      </x:c>
      <x:c r="G17" s="338" t="str">
        <x:v>Signal</x:v>
      </x:c>
      <x:c r="H17" s="244"/>
      <x:c r="I17" s="285" t="str">
        <x:v>Biggest expense category</x:v>
      </x:c>
      <x:c r="J17" s="252" t="str"/>
      <x:c r="K17" s="252" t="str"/>
      <x:c r="L17" s="244"/>
      <x:c r="M17" s="244"/>
      <x:c r="N17" s="244"/>
      <x:c r="O17" s="244"/>
      <x:c r="P17" s="244"/>
      <x:c r="Q17" s="244"/>
      <x:c r="R17" s="244"/>
      <x:c r="S17" s="244"/>
      <x:c r="T17" s="244"/>
      <x:c r="U17" s="261"/>
    </x:row>
    <x:row r="18">
      <x:c r="A18" s="3"/>
      <x:c r="B18" s="293" t="str">
        <x:v>Housing</x:v>
      </x:c>
      <x:c r="C18" s="286" t="n">
        <x:f>SUMIFS('Monthly Plan'!D$8:D$19,'Monthly Plan'!$B$8:$B$19,"&gt;="&amp;DATE(YEAR($C$7),MONTH($C$7),1),'Monthly Plan'!$B$8:$B$19,"&lt;="&amp;EOMONTH($E$7,0))</x:f>
        <x:v>11100</x:v>
      </x:c>
      <x:c r="D18" s="286" t="n">
        <x:f>SUMIFS('Daily Log'!E:E,'Daily Log'!D:D,B18,'Daily Log'!B:B,"&gt;="&amp;$C$7,'Daily Log'!B:B,"&lt;="&amp;$E$7)</x:f>
        <x:v>7400</x:v>
      </x:c>
      <x:c r="E18" s="287" t="n">
        <x:f>IF($B$12=0,0,D18/$B$12)</x:f>
        <x:v>0.37997432605905007</x:v>
      </x:c>
      <x:c r="F18" s="286" t="n">
        <x:f>C18-D18</x:f>
        <x:v>3700</x:v>
      </x:c>
      <x:c r="G18" s="243" t="str">
        <x:f>IF(F18&lt;0,"Over budget","OK")</x:f>
        <x:v>OK</x:v>
      </x:c>
      <x:c r="H18" s="244"/>
      <x:c r="I18" s="288" t="str">
        <x:f>J12</x:f>
        <x:v>Housing</x:v>
      </x:c>
      <x:c r="J18" s="288" t="str"/>
      <x:c r="K18" s="288" t="str"/>
      <x:c r="L18" s="244"/>
      <x:c r="M18" s="244"/>
      <x:c r="N18" s="244"/>
      <x:c r="O18" s="244"/>
      <x:c r="P18" s="244"/>
      <x:c r="Q18" s="244"/>
      <x:c r="R18" s="244"/>
      <x:c r="S18" s="244"/>
      <x:c r="T18" s="244"/>
      <x:c r="U18" s="261"/>
    </x:row>
    <x:row r="19">
      <x:c r="A19" s="3"/>
      <x:c r="B19" s="293" t="str">
        <x:v>Utilities</x:v>
      </x:c>
      <x:c r="C19" s="286" t="n">
        <x:f>SUMIFS('Monthly Plan'!E$8:E$19,'Monthly Plan'!$B$8:$B$19,"&gt;="&amp;DATE(YEAR($C$7),MONTH($C$7),1),'Monthly Plan'!$B$8:$B$19,"&lt;="&amp;EOMONTH($E$7,0))</x:f>
        <x:v>1500</x:v>
      </x:c>
      <x:c r="D19" s="286" t="n">
        <x:f>SUMIFS('Daily Log'!E:E,'Daily Log'!D:D,B19,'Daily Log'!B:B,"&gt;="&amp;$C$7,'Daily Log'!B:B,"&lt;="&amp;$E$7)</x:f>
        <x:v>615</x:v>
      </x:c>
      <x:c r="E19" s="287" t="n">
        <x:f>IF($B$12=0,0,D19/$B$12)</x:f>
        <x:v>0.031578947368421054</x:v>
      </x:c>
      <x:c r="F19" s="286" t="n">
        <x:f>C19-D19</x:f>
        <x:v>885</x:v>
      </x:c>
      <x:c r="G19" s="243" t="str">
        <x:f>IF(F19&lt;0,"Over budget","OK")</x:f>
        <x:v>OK</x:v>
      </x:c>
      <x:c r="H19" s="244"/>
      <x:c r="I19" s="285" t="str">
        <x:v>Share of income</x:v>
      </x:c>
      <x:c r="J19" s="252" t="str"/>
      <x:c r="K19" s="252" t="str"/>
      <x:c r="L19" s="244"/>
      <x:c r="M19" s="244"/>
      <x:c r="N19" s="244"/>
      <x:c r="O19" s="244"/>
      <x:c r="P19" s="244"/>
      <x:c r="Q19" s="244"/>
      <x:c r="R19" s="244"/>
      <x:c r="S19" s="244"/>
      <x:c r="T19" s="244"/>
      <x:c r="U19" s="261"/>
    </x:row>
    <x:row r="20">
      <x:c r="A20" s="3"/>
      <x:c r="B20" s="293" t="str">
        <x:v>Insurance</x:v>
      </x:c>
      <x:c r="C20" s="286" t="n">
        <x:f>SUMIFS('Monthly Plan'!F$8:F$19,'Monthly Plan'!$B$8:$B$19,"&gt;="&amp;DATE(YEAR($C$7),MONTH($C$7),1),'Monthly Plan'!$B$8:$B$19,"&lt;="&amp;EOMONTH($E$7,0))</x:f>
        <x:v>1440</x:v>
      </x:c>
      <x:c r="D20" s="286" t="n">
        <x:f>SUMIFS('Daily Log'!E:E,'Daily Log'!D:D,B20,'Daily Log'!B:B,"&gt;="&amp;$C$7,'Daily Log'!B:B,"&lt;="&amp;$E$7)</x:f>
        <x:v>240</x:v>
      </x:c>
      <x:c r="E20" s="287" t="n">
        <x:f>IF($B$12=0,0,D20/$B$12)</x:f>
        <x:v>0.012323491655969191</x:v>
      </x:c>
      <x:c r="F20" s="286" t="n">
        <x:f>C20-D20</x:f>
        <x:v>1200</x:v>
      </x:c>
      <x:c r="G20" s="243" t="str">
        <x:f>IF(F20&lt;0,"Over budget","OK")</x:f>
        <x:v>OK</x:v>
      </x:c>
      <x:c r="H20" s="244"/>
      <x:c r="I20" s="289" t="n">
        <x:f>INDEX(E18:E35,MATCH(J12,B18:B35,0))</x:f>
        <x:v>0.37997432605905007</x:v>
      </x:c>
      <x:c r="J20" s="290" t="str"/>
      <x:c r="K20" s="290" t="str"/>
      <x:c r="L20" s="244"/>
      <x:c r="M20" s="244"/>
      <x:c r="N20" s="244"/>
      <x:c r="O20" s="244"/>
      <x:c r="P20" s="244"/>
      <x:c r="Q20" s="244"/>
      <x:c r="R20" s="244"/>
      <x:c r="S20" s="244"/>
      <x:c r="T20" s="244"/>
      <x:c r="U20" s="261"/>
    </x:row>
    <x:row r="21">
      <x:c r="A21" s="3"/>
      <x:c r="B21" s="293" t="str">
        <x:v>Phone &amp; Internet</x:v>
      </x:c>
      <x:c r="C21" s="286" t="n">
        <x:f>SUMIFS('Monthly Plan'!G$8:G$19,'Monthly Plan'!$B$8:$B$19,"&gt;="&amp;DATE(YEAR($C$7),MONTH($C$7),1),'Monthly Plan'!$B$8:$B$19,"&lt;="&amp;EOMONTH($E$7,0))</x:f>
        <x:v>1020</x:v>
      </x:c>
      <x:c r="D21" s="286" t="n">
        <x:f>SUMIFS('Daily Log'!E:E,'Daily Log'!D:D,B21,'Daily Log'!B:B,"&gt;="&amp;$C$7,'Daily Log'!B:B,"&lt;="&amp;$E$7)</x:f>
        <x:v>170</x:v>
      </x:c>
      <x:c r="E21" s="287" t="n">
        <x:f>IF($B$12=0,0,D21/$B$12)</x:f>
        <x:v>0.008729139922978177</x:v>
      </x:c>
      <x:c r="F21" s="286" t="n">
        <x:f>C21-D21</x:f>
        <x:v>850</x:v>
      </x:c>
      <x:c r="G21" s="243" t="str">
        <x:f>IF(F21&lt;0,"Over budget","OK")</x:f>
        <x:v>OK</x:v>
      </x:c>
      <x:c r="H21" s="244"/>
      <x:c r="I21" s="285" t="str">
        <x:v>Budget variance</x:v>
      </x:c>
      <x:c r="J21" s="252" t="str"/>
      <x:c r="K21" s="252" t="str"/>
      <x:c r="L21" s="244"/>
      <x:c r="M21" s="244"/>
      <x:c r="N21" s="244"/>
      <x:c r="O21" s="244"/>
      <x:c r="P21" s="244"/>
      <x:c r="Q21" s="244"/>
      <x:c r="R21" s="244"/>
      <x:c r="S21" s="244"/>
      <x:c r="T21" s="244"/>
      <x:c r="U21" s="261"/>
    </x:row>
    <x:row r="22">
      <x:c r="A22" s="3"/>
      <x:c r="B22" s="293" t="str">
        <x:v>Debt</x:v>
      </x:c>
      <x:c r="C22" s="286" t="n">
        <x:f>SUMIFS('Monthly Plan'!H$8:H$19,'Monthly Plan'!$B$8:$B$19,"&gt;="&amp;DATE(YEAR($C$7),MONTH($C$7),1),'Monthly Plan'!$B$8:$B$19,"&lt;="&amp;EOMONTH($E$7,0))</x:f>
        <x:v>3120</x:v>
      </x:c>
      <x:c r="D22" s="286" t="n">
        <x:f>SUMIFS('Daily Log'!E:E,'Daily Log'!D:D,B22,'Daily Log'!B:B,"&gt;="&amp;$C$7,'Daily Log'!B:B,"&lt;="&amp;$E$7)</x:f>
        <x:v>520</x:v>
      </x:c>
      <x:c r="E22" s="287" t="n">
        <x:f>IF($B$12=0,0,D22/$B$12)</x:f>
        <x:v>0.026700898587933248</x:v>
      </x:c>
      <x:c r="F22" s="286" t="n">
        <x:f>C22-D22</x:f>
        <x:v>2600</x:v>
      </x:c>
      <x:c r="G22" s="243" t="str">
        <x:f>IF(F22&lt;0,"Over budget","OK")</x:f>
        <x:v>OK</x:v>
      </x:c>
      <x:c r="H22" s="244"/>
      <x:c r="I22" s="291" t="n">
        <x:f>SUM(F18:F35)</x:f>
        <x:v>21714</x:v>
      </x:c>
      <x:c r="J22" s="292" t="str"/>
      <x:c r="K22" s="292" t="str"/>
      <x:c r="L22" s="244"/>
      <x:c r="M22" s="244"/>
      <x:c r="N22" s="244"/>
      <x:c r="O22" s="244"/>
      <x:c r="P22" s="244"/>
      <x:c r="Q22" s="244"/>
      <x:c r="R22" s="244"/>
      <x:c r="S22" s="244"/>
      <x:c r="T22" s="244"/>
      <x:c r="U22" s="261"/>
    </x:row>
    <x:row r="23">
      <x:c r="A23" s="3"/>
      <x:c r="B23" s="293" t="str">
        <x:v>Subscriptions</x:v>
      </x:c>
      <x:c r="C23" s="286" t="n">
        <x:f>SUMIFS('Monthly Plan'!I$8:I$19,'Monthly Plan'!$B$8:$B$19,"&gt;="&amp;DATE(YEAR($C$7),MONTH($C$7),1),'Monthly Plan'!$B$8:$B$19,"&lt;="&amp;EOMONTH($E$7,0))</x:f>
        <x:v>1308</x:v>
      </x:c>
      <x:c r="D23" s="286" t="n">
        <x:f>SUMIFS('Daily Log'!E:E,'Daily Log'!D:D,B23,'Daily Log'!B:B,"&gt;="&amp;$C$7,'Daily Log'!B:B,"&lt;="&amp;$E$7)</x:f>
        <x:v>257</x:v>
      </x:c>
      <x:c r="E23" s="287" t="n">
        <x:f>IF($B$12=0,0,D23/$B$12)</x:f>
        <x:v>0.013196405648267009</x:v>
      </x:c>
      <x:c r="F23" s="286" t="n">
        <x:f>C23-D23</x:f>
        <x:v>1051</x:v>
      </x:c>
      <x:c r="G23" s="243" t="str">
        <x:f>IF(F23&lt;0,"Over budget","OK")</x:f>
        <x:v>OK</x:v>
      </x:c>
      <x:c r="H23" s="244"/>
      <x:c r="I23" s="285" t="str">
        <x:v>Tip</x:v>
      </x:c>
      <x:c r="J23" s="252" t="str"/>
      <x:c r="K23" s="252" t="str"/>
      <x:c r="L23" s="244"/>
      <x:c r="M23" s="244"/>
      <x:c r="N23" s="244"/>
      <x:c r="O23" s="244"/>
      <x:c r="P23" s="244"/>
      <x:c r="Q23" s="244"/>
      <x:c r="R23" s="244"/>
      <x:c r="S23" s="244"/>
      <x:c r="T23" s="244"/>
      <x:c r="U23" s="261"/>
    </x:row>
    <x:row r="24">
      <x:c r="A24" s="3"/>
      <x:c r="B24" s="293" t="str">
        <x:v>Savings Transfers</x:v>
      </x:c>
      <x:c r="C24" s="286" t="n">
        <x:f>SUMIFS('Monthly Plan'!J$8:J$19,'Monthly Plan'!$B$8:$B$19,"&gt;="&amp;DATE(YEAR($C$7),MONTH($C$7),1),'Monthly Plan'!$B$8:$B$19,"&lt;="&amp;EOMONTH($E$7,0))</x:f>
        <x:v>2400</x:v>
      </x:c>
      <x:c r="D24" s="286" t="n">
        <x:f>SUMIFS('Daily Log'!E:E,'Daily Log'!D:D,B24,'Daily Log'!B:B,"&gt;="&amp;$C$7,'Daily Log'!B:B,"&lt;="&amp;$E$7)</x:f>
        <x:v>0</x:v>
      </x:c>
      <x:c r="E24" s="287" t="n">
        <x:f>IF($B$12=0,0,D24/$B$12)</x:f>
        <x:v>0</x:v>
      </x:c>
      <x:c r="F24" s="286" t="n">
        <x:f>C24-D24</x:f>
        <x:v>2400</x:v>
      </x:c>
      <x:c r="G24" s="243" t="str">
        <x:f>IF(F24&lt;0,"Over budget","OK")</x:f>
        <x:v>OK</x:v>
      </x:c>
      <x:c r="H24" s="244"/>
      <x:c r="I24" s="252" t="str">
        <x:v>Use the date boxes above to compare a month, quarter, or year-to-date without changing the Daily Log.</x:v>
      </x:c>
      <x:c r="J24" s="252" t="str"/>
      <x:c r="K24" s="252" t="str"/>
      <x:c r="L24" s="244"/>
      <x:c r="M24" s="244"/>
      <x:c r="N24" s="244"/>
      <x:c r="O24" s="244"/>
      <x:c r="P24" s="244"/>
      <x:c r="Q24" s="244"/>
      <x:c r="R24" s="244"/>
      <x:c r="S24" s="244"/>
      <x:c r="T24" s="244"/>
      <x:c r="U24" s="261"/>
    </x:row>
    <x:row r="25">
      <x:c r="A25" s="3"/>
      <x:c r="B25" s="293" t="str">
        <x:v>Groceries</x:v>
      </x:c>
      <x:c r="C25" s="286" t="n">
        <x:f>SUMIFS('Monthly Plan'!K$8:K$19,'Monthly Plan'!$B$8:$B$19,"&gt;="&amp;DATE(YEAR($C$7),MONTH($C$7),1),'Monthly Plan'!$B$8:$B$19,"&lt;="&amp;EOMONTH($E$7,0))</x:f>
        <x:v>3000</x:v>
      </x:c>
      <x:c r="D25" s="286" t="n">
        <x:f>SUMIFS('Daily Log'!E:E,'Daily Log'!D:D,B25,'Daily Log'!B:B,"&gt;="&amp;$C$7,'Daily Log'!B:B,"&lt;="&amp;$E$7)</x:f>
        <x:v>1087</x:v>
      </x:c>
      <x:c r="E25" s="287" t="n">
        <x:f>IF($B$12=0,0,D25/$B$12)</x:f>
        <x:v>0.05581514762516046</x:v>
      </x:c>
      <x:c r="F25" s="286" t="n">
        <x:f>C25-D25</x:f>
        <x:v>1913</x:v>
      </x:c>
      <x:c r="G25" s="243" t="str">
        <x:f>IF(F25&lt;0,"Over budget","OK")</x:f>
        <x:v>OK</x:v>
      </x:c>
      <x:c r="H25" s="244"/>
      <x:c r="I25" s="252" t="str"/>
      <x:c r="J25" s="252" t="str"/>
      <x:c r="K25" s="252" t="str"/>
      <x:c r="L25" s="244"/>
      <x:c r="M25" s="244"/>
      <x:c r="N25" s="244"/>
      <x:c r="O25" s="244"/>
      <x:c r="P25" s="244"/>
      <x:c r="Q25" s="244"/>
      <x:c r="R25" s="244"/>
      <x:c r="S25" s="244"/>
      <x:c r="T25" s="244"/>
      <x:c r="U25" s="261"/>
    </x:row>
    <x:row r="26">
      <x:c r="A26" s="3"/>
      <x:c r="B26" s="293" t="str">
        <x:v>Transportation</x:v>
      </x:c>
      <x:c r="C26" s="286" t="n">
        <x:f>SUMIFS('Monthly Plan'!L$8:L$19,'Monthly Plan'!$B$8:$B$19,"&gt;="&amp;DATE(YEAR($C$7),MONTH($C$7),1),'Monthly Plan'!$B$8:$B$19,"&lt;="&amp;EOMONTH($E$7,0))</x:f>
        <x:v>900</x:v>
      </x:c>
      <x:c r="D26" s="286" t="n">
        <x:f>SUMIFS('Daily Log'!E:E,'Daily Log'!D:D,B26,'Daily Log'!B:B,"&gt;="&amp;$C$7,'Daily Log'!B:B,"&lt;="&amp;$E$7)</x:f>
        <x:v>314</x:v>
      </x:c>
      <x:c r="E26" s="287" t="n">
        <x:f>IF($B$12=0,0,D26/$B$12)</x:f>
        <x:v>0.016123234916559693</x:v>
      </x:c>
      <x:c r="F26" s="286" t="n">
        <x:f>C26-D26</x:f>
        <x:v>586</x:v>
      </x:c>
      <x:c r="G26" s="243" t="str">
        <x:f>IF(F26&lt;0,"Over budget","OK")</x:f>
        <x:v>OK</x:v>
      </x:c>
      <x:c r="H26" s="244"/>
      <x:c r="I26" s="244"/>
      <x:c r="J26" s="244"/>
      <x:c r="K26" s="244"/>
      <x:c r="L26" s="244"/>
      <x:c r="M26" s="244"/>
      <x:c r="N26" s="244"/>
      <x:c r="O26" s="244"/>
      <x:c r="P26" s="244"/>
      <x:c r="Q26" s="244"/>
      <x:c r="R26" s="244"/>
      <x:c r="S26" s="244"/>
      <x:c r="T26" s="244"/>
      <x:c r="U26" s="261"/>
    </x:row>
    <x:row r="27">
      <x:c r="A27" s="3"/>
      <x:c r="B27" s="293" t="str">
        <x:v>Medical / Health</x:v>
      </x:c>
      <x:c r="C27" s="286" t="n">
        <x:f>SUMIFS('Monthly Plan'!M$8:M$19,'Monthly Plan'!$B$8:$B$19,"&gt;="&amp;DATE(YEAR($C$7),MONTH($C$7),1),'Monthly Plan'!$B$8:$B$19,"&lt;="&amp;EOMONTH($E$7,0))</x:f>
        <x:v>600</x:v>
      </x:c>
      <x:c r="D27" s="286" t="n">
        <x:f>SUMIFS('Daily Log'!E:E,'Daily Log'!D:D,B27,'Daily Log'!B:B,"&gt;="&amp;$C$7,'Daily Log'!B:B,"&lt;="&amp;$E$7)</x:f>
        <x:v>0</x:v>
      </x:c>
      <x:c r="E27" s="287" t="n">
        <x:f>IF($B$12=0,0,D27/$B$12)</x:f>
        <x:v>0</x:v>
      </x:c>
      <x:c r="F27" s="286" t="n">
        <x:f>C27-D27</x:f>
        <x:v>600</x:v>
      </x:c>
      <x:c r="G27" s="243" t="str">
        <x:f>IF(F27&lt;0,"Over budget","OK")</x:f>
        <x:v>OK</x:v>
      </x:c>
      <x:c r="H27" s="244"/>
      <x:c r="I27" s="244"/>
      <x:c r="J27" s="244"/>
      <x:c r="K27" s="244"/>
      <x:c r="L27" s="244"/>
      <x:c r="M27" s="244"/>
      <x:c r="N27" s="244"/>
      <x:c r="O27" s="244"/>
      <x:c r="P27" s="244"/>
      <x:c r="Q27" s="244"/>
      <x:c r="R27" s="244"/>
      <x:c r="S27" s="244"/>
      <x:c r="T27" s="244"/>
      <x:c r="U27" s="261"/>
    </x:row>
    <x:row r="28">
      <x:c r="A28" s="3"/>
      <x:c r="B28" s="293" t="str">
        <x:v>Childcare / Family</x:v>
      </x:c>
      <x:c r="C28" s="286" t="n">
        <x:f>SUMIFS('Monthly Plan'!N$8:N$19,'Monthly Plan'!$B$8:$B$19,"&gt;="&amp;DATE(YEAR($C$7),MONTH($C$7),1),'Monthly Plan'!$B$8:$B$19,"&lt;="&amp;EOMONTH($E$7,0))</x:f>
        <x:v>0</x:v>
      </x:c>
      <x:c r="D28" s="286" t="n">
        <x:f>SUMIFS('Daily Log'!E:E,'Daily Log'!D:D,B28,'Daily Log'!B:B,"&gt;="&amp;$C$7,'Daily Log'!B:B,"&lt;="&amp;$E$7)</x:f>
        <x:v>0</x:v>
      </x:c>
      <x:c r="E28" s="287" t="n">
        <x:f>IF($B$12=0,0,D28/$B$12)</x:f>
        <x:v>0</x:v>
      </x:c>
      <x:c r="F28" s="286" t="n">
        <x:f>C28-D28</x:f>
        <x:v>0</x:v>
      </x:c>
      <x:c r="G28" s="243" t="str">
        <x:f>IF(F28&lt;0,"Over budget","OK")</x:f>
        <x:v>OK</x:v>
      </x:c>
      <x:c r="H28" s="244"/>
      <x:c r="I28" s="244"/>
      <x:c r="J28" s="244"/>
      <x:c r="K28" s="244"/>
      <x:c r="L28" s="244"/>
      <x:c r="M28" s="244"/>
      <x:c r="N28" s="244"/>
      <x:c r="O28" s="244"/>
      <x:c r="P28" s="244"/>
      <x:c r="Q28" s="244"/>
      <x:c r="R28" s="244"/>
      <x:c r="S28" s="244"/>
      <x:c r="T28" s="244"/>
      <x:c r="U28" s="261"/>
    </x:row>
    <x:row r="29">
      <x:c r="A29" s="3"/>
      <x:c r="B29" s="293" t="str">
        <x:v>Pets</x:v>
      </x:c>
      <x:c r="C29" s="286" t="n">
        <x:f>SUMIFS('Monthly Plan'!O$8:O$19,'Monthly Plan'!$B$8:$B$19,"&gt;="&amp;DATE(YEAR($C$7),MONTH($C$7),1),'Monthly Plan'!$B$8:$B$19,"&lt;="&amp;EOMONTH($E$7,0))</x:f>
        <x:v>540</x:v>
      </x:c>
      <x:c r="D29" s="286" t="n">
        <x:f>SUMIFS('Daily Log'!E:E,'Daily Log'!D:D,B29,'Daily Log'!B:B,"&gt;="&amp;$C$7,'Daily Log'!B:B,"&lt;="&amp;$E$7)</x:f>
        <x:v>140</x:v>
      </x:c>
      <x:c r="E29" s="287" t="n">
        <x:f>IF($B$12=0,0,D29/$B$12)</x:f>
        <x:v>0.007188703465982028</x:v>
      </x:c>
      <x:c r="F29" s="286" t="n">
        <x:f>C29-D29</x:f>
        <x:v>400</x:v>
      </x:c>
      <x:c r="G29" s="243" t="str">
        <x:f>IF(F29&lt;0,"Over budget","OK")</x:f>
        <x:v>OK</x:v>
      </x:c>
      <x:c r="H29" s="244"/>
      <x:c r="I29" s="244"/>
      <x:c r="J29" s="244"/>
      <x:c r="K29" s="244"/>
      <x:c r="L29" s="244"/>
      <x:c r="M29" s="244"/>
      <x:c r="N29" s="244"/>
      <x:c r="O29" s="244"/>
      <x:c r="P29" s="244"/>
      <x:c r="Q29" s="244"/>
      <x:c r="R29" s="244"/>
      <x:c r="S29" s="244"/>
      <x:c r="T29" s="244"/>
      <x:c r="U29" s="261"/>
    </x:row>
    <x:row r="30">
      <x:c r="A30" s="3"/>
      <x:c r="B30" s="293" t="str">
        <x:v>Food &amp; Dining</x:v>
      </x:c>
      <x:c r="C30" s="286" t="n">
        <x:f>SUMIFS('Monthly Plan'!P$8:P$19,'Monthly Plan'!$B$8:$B$19,"&gt;="&amp;DATE(YEAR($C$7),MONTH($C$7),1),'Monthly Plan'!$B$8:$B$19,"&lt;="&amp;EOMONTH($E$7,0))</x:f>
        <x:v>1500</x:v>
      </x:c>
      <x:c r="D30" s="286" t="n">
        <x:f>SUMIFS('Daily Log'!E:E,'Daily Log'!D:D,B30,'Daily Log'!B:B,"&gt;="&amp;$C$7,'Daily Log'!B:B,"&lt;="&amp;$E$7)</x:f>
        <x:v>321</x:v>
      </x:c>
      <x:c r="E30" s="287" t="n">
        <x:f>IF($B$12=0,0,D30/$B$12)</x:f>
        <x:v>0.016482670089858792</x:v>
      </x:c>
      <x:c r="F30" s="286" t="n">
        <x:f>C30-D30</x:f>
        <x:v>1179</x:v>
      </x:c>
      <x:c r="G30" s="243" t="str">
        <x:f>IF(F30&lt;0,"Over budget","OK")</x:f>
        <x:v>OK</x:v>
      </x:c>
      <x:c r="H30" s="244"/>
      <x:c r="I30" s="244"/>
      <x:c r="J30" s="244"/>
      <x:c r="K30" s="244"/>
      <x:c r="L30" s="244"/>
      <x:c r="M30" s="244"/>
      <x:c r="N30" s="244"/>
      <x:c r="O30" s="244"/>
      <x:c r="P30" s="244"/>
      <x:c r="Q30" s="244"/>
      <x:c r="R30" s="244"/>
      <x:c r="S30" s="244"/>
      <x:c r="T30" s="244"/>
      <x:c r="U30" s="261"/>
    </x:row>
    <x:row r="31">
      <x:c r="A31" s="3"/>
      <x:c r="B31" s="293" t="str">
        <x:v>Shopping / Personal</x:v>
      </x:c>
      <x:c r="C31" s="286" t="n">
        <x:f>SUMIFS('Monthly Plan'!Q$8:Q$19,'Monthly Plan'!$B$8:$B$19,"&gt;="&amp;DATE(YEAR($C$7),MONTH($C$7),1),'Monthly Plan'!$B$8:$B$19,"&lt;="&amp;EOMONTH($E$7,0))</x:f>
        <x:v>1200</x:v>
      </x:c>
      <x:c r="D31" s="286" t="n">
        <x:f>SUMIFS('Daily Log'!E:E,'Daily Log'!D:D,B31,'Daily Log'!B:B,"&gt;="&amp;$C$7,'Daily Log'!B:B,"&lt;="&amp;$E$7)</x:f>
        <x:v>0</x:v>
      </x:c>
      <x:c r="E31" s="287" t="n">
        <x:f>IF($B$12=0,0,D31/$B$12)</x:f>
        <x:v>0</x:v>
      </x:c>
      <x:c r="F31" s="286" t="n">
        <x:f>C31-D31</x:f>
        <x:v>1200</x:v>
      </x:c>
      <x:c r="G31" s="243" t="str">
        <x:f>IF(F31&lt;0,"Over budget","OK")</x:f>
        <x:v>OK</x:v>
      </x:c>
      <x:c r="H31" s="244"/>
      <x:c r="I31" s="244"/>
      <x:c r="J31" s="244"/>
      <x:c r="K31" s="244"/>
      <x:c r="L31" s="244"/>
      <x:c r="M31" s="244"/>
      <x:c r="N31" s="244"/>
      <x:c r="O31" s="244"/>
      <x:c r="P31" s="244"/>
      <x:c r="Q31" s="244"/>
      <x:c r="R31" s="244"/>
      <x:c r="S31" s="244"/>
      <x:c r="T31" s="244"/>
      <x:c r="U31" s="261"/>
    </x:row>
    <x:row r="32">
      <x:c r="A32" s="3"/>
      <x:c r="B32" s="293" t="str">
        <x:v>Entertainment</x:v>
      </x:c>
      <x:c r="C32" s="286" t="n">
        <x:f>SUMIFS('Monthly Plan'!R$8:R$19,'Monthly Plan'!$B$8:$B$19,"&gt;="&amp;DATE(YEAR($C$7),MONTH($C$7),1),'Monthly Plan'!$B$8:$B$19,"&lt;="&amp;EOMONTH($E$7,0))</x:f>
        <x:v>600</x:v>
      </x:c>
      <x:c r="D32" s="286" t="n">
        <x:f>SUMIFS('Daily Log'!E:E,'Daily Log'!D:D,B32,'Daily Log'!B:B,"&gt;="&amp;$C$7,'Daily Log'!B:B,"&lt;="&amp;$E$7)</x:f>
        <x:v>0</x:v>
      </x:c>
      <x:c r="E32" s="287" t="n">
        <x:f>IF($B$12=0,0,D32/$B$12)</x:f>
        <x:v>0</x:v>
      </x:c>
      <x:c r="F32" s="286" t="n">
        <x:f>C32-D32</x:f>
        <x:v>600</x:v>
      </x:c>
      <x:c r="G32" s="243" t="str">
        <x:f>IF(F32&lt;0,"Over budget","OK")</x:f>
        <x:v>OK</x:v>
      </x:c>
      <x:c r="H32" s="244"/>
      <x:c r="I32" s="244"/>
      <x:c r="J32" s="244"/>
      <x:c r="K32" s="244"/>
      <x:c r="L32" s="244"/>
      <x:c r="M32" s="244"/>
      <x:c r="N32" s="244"/>
      <x:c r="O32" s="244"/>
      <x:c r="P32" s="244"/>
      <x:c r="Q32" s="244"/>
      <x:c r="R32" s="244"/>
      <x:c r="S32" s="244"/>
      <x:c r="T32" s="244"/>
      <x:c r="U32" s="261"/>
    </x:row>
    <x:row r="33">
      <x:c r="A33" s="3"/>
      <x:c r="B33" s="293" t="str">
        <x:v>Travel</x:v>
      </x:c>
      <x:c r="C33" s="286" t="n">
        <x:f>SUMIFS('Monthly Plan'!S$8:S$19,'Monthly Plan'!$B$8:$B$19,"&gt;="&amp;DATE(YEAR($C$7),MONTH($C$7),1),'Monthly Plan'!$B$8:$B$19,"&lt;="&amp;EOMONTH($E$7,0))</x:f>
        <x:v>750</x:v>
      </x:c>
      <x:c r="D33" s="286" t="n">
        <x:f>SUMIFS('Daily Log'!E:E,'Daily Log'!D:D,B33,'Daily Log'!B:B,"&gt;="&amp;$C$7,'Daily Log'!B:B,"&lt;="&amp;$E$7)</x:f>
        <x:v>0</x:v>
      </x:c>
      <x:c r="E33" s="287" t="n">
        <x:f>IF($B$12=0,0,D33/$B$12)</x:f>
        <x:v>0</x:v>
      </x:c>
      <x:c r="F33" s="286" t="n">
        <x:f>C33-D33</x:f>
        <x:v>750</x:v>
      </x:c>
      <x:c r="G33" s="243" t="str">
        <x:f>IF(F33&lt;0,"Over budget","OK")</x:f>
        <x:v>OK</x:v>
      </x:c>
      <x:c r="H33" s="244"/>
      <x:c r="I33" s="244"/>
      <x:c r="J33" s="244"/>
      <x:c r="K33" s="244"/>
      <x:c r="L33" s="244"/>
      <x:c r="M33" s="244"/>
      <x:c r="N33" s="244"/>
      <x:c r="O33" s="244"/>
      <x:c r="P33" s="244"/>
      <x:c r="Q33" s="244"/>
      <x:c r="R33" s="244"/>
      <x:c r="S33" s="244"/>
      <x:c r="T33" s="244"/>
      <x:c r="U33" s="261"/>
    </x:row>
    <x:row r="34">
      <x:c r="A34" s="3"/>
      <x:c r="B34" s="293" t="str">
        <x:v>Irregular Planned</x:v>
      </x:c>
      <x:c r="C34" s="286" t="n">
        <x:f>SUMIFS('Monthly Plan'!T$8:T$19,'Monthly Plan'!$B$8:$B$19,"&gt;="&amp;DATE(YEAR($C$7),MONTH($C$7),1),'Monthly Plan'!$B$8:$B$19,"&lt;="&amp;EOMONTH($E$7,0))</x:f>
        <x:v>1500</x:v>
      </x:c>
      <x:c r="D34" s="286" t="n">
        <x:f>SUMIFS('Daily Log'!E:E,'Daily Log'!D:D,B34,'Daily Log'!B:B,"&gt;="&amp;$C$7,'Daily Log'!B:B,"&lt;="&amp;$E$7)</x:f>
        <x:v>0</x:v>
      </x:c>
      <x:c r="E34" s="287" t="n">
        <x:f>IF($B$12=0,0,D34/$B$12)</x:f>
        <x:v>0</x:v>
      </x:c>
      <x:c r="F34" s="286" t="n">
        <x:f>C34-D34</x:f>
        <x:v>1500</x:v>
      </x:c>
      <x:c r="G34" s="243" t="str">
        <x:f>IF(F34&lt;0,"Over budget","OK")</x:f>
        <x:v>OK</x:v>
      </x:c>
      <x:c r="H34" s="244"/>
      <x:c r="I34" s="244"/>
      <x:c r="J34" s="244"/>
      <x:c r="K34" s="244"/>
      <x:c r="L34" s="244"/>
      <x:c r="M34" s="244"/>
      <x:c r="N34" s="244"/>
      <x:c r="O34" s="244"/>
      <x:c r="P34" s="244"/>
      <x:c r="Q34" s="244"/>
      <x:c r="R34" s="244"/>
      <x:c r="S34" s="244"/>
      <x:c r="T34" s="244"/>
      <x:c r="U34" s="261"/>
    </x:row>
    <x:row r="35">
      <x:c r="A35" s="3"/>
      <x:c r="B35" s="293" t="str">
        <x:v>Miscellaneous</x:v>
      </x:c>
      <x:c r="C35" s="286" t="n">
        <x:f>SUMIFS('Monthly Plan'!U$8:U$19,'Monthly Plan'!$B$8:$B$19,"&gt;="&amp;DATE(YEAR($C$7),MONTH($C$7),1),'Monthly Plan'!$B$8:$B$19,"&lt;="&amp;EOMONTH($E$7,0))</x:f>
        <x:v>300</x:v>
      </x:c>
      <x:c r="D35" s="286" t="n">
        <x:f>SUMIFS('Daily Log'!E:E,'Daily Log'!D:D,B35,'Daily Log'!B:B,"&gt;="&amp;$C$7,'Daily Log'!B:B,"&lt;="&amp;$E$7)</x:f>
        <x:v>0</x:v>
      </x:c>
      <x:c r="E35" s="287" t="n">
        <x:f>IF($B$12=0,0,D35/$B$12)</x:f>
        <x:v>0</x:v>
      </x:c>
      <x:c r="F35" s="286" t="n">
        <x:f>C35-D35</x:f>
        <x:v>300</x:v>
      </x:c>
      <x:c r="G35" s="243" t="str">
        <x:f>IF(F35&lt;0,"Over budget","OK")</x:f>
        <x:v>OK</x:v>
      </x:c>
      <x:c r="H35" s="244"/>
      <x:c r="I35" s="244"/>
      <x:c r="J35" s="244"/>
      <x:c r="K35" s="244"/>
      <x:c r="L35" s="244"/>
      <x:c r="M35" s="244"/>
      <x:c r="N35" s="244"/>
      <x:c r="O35" s="244"/>
      <x:c r="P35" s="244"/>
      <x:c r="Q35" s="244"/>
      <x:c r="R35" s="244"/>
      <x:c r="S35" s="244"/>
      <x:c r="T35" s="244"/>
      <x:c r="U35" s="261"/>
    </x:row>
    <x:row r="36">
      <x:c r="A36" s="3"/>
      <x:c r="B36" s="262"/>
      <x:c r="C36" s="244"/>
      <x:c r="D36" s="244"/>
      <x:c r="E36" s="244"/>
      <x:c r="F36" s="244"/>
      <x:c r="G36" s="244"/>
      <x:c r="H36" s="244"/>
      <x:c r="I36" s="244"/>
      <x:c r="J36" s="244"/>
      <x:c r="K36" s="244"/>
      <x:c r="L36" s="244"/>
      <x:c r="M36" s="244"/>
      <x:c r="N36" s="244"/>
      <x:c r="O36" s="244"/>
      <x:c r="P36" s="244"/>
      <x:c r="Q36" s="244"/>
      <x:c r="R36" s="244"/>
      <x:c r="S36" s="244"/>
      <x:c r="T36" s="244"/>
      <x:c r="U36" s="261"/>
    </x:row>
    <x:row r="37">
      <x:c r="A37" s="3"/>
      <x:c r="B37" s="262"/>
      <x:c r="C37" s="244"/>
      <x:c r="D37" s="244"/>
      <x:c r="E37" s="244"/>
      <x:c r="F37" s="244"/>
      <x:c r="G37" s="244"/>
      <x:c r="H37" s="244"/>
      <x:c r="I37" s="244"/>
      <x:c r="J37" s="244"/>
      <x:c r="K37" s="244"/>
      <x:c r="L37" s="244"/>
      <x:c r="M37" s="244"/>
      <x:c r="N37" s="244"/>
      <x:c r="O37" s="244"/>
      <x:c r="P37" s="244"/>
      <x:c r="Q37" s="244"/>
      <x:c r="R37" s="244"/>
      <x:c r="S37" s="244"/>
      <x:c r="T37" s="244"/>
      <x:c r="U37" s="261"/>
    </x:row>
    <x:row r="38">
      <x:c r="A38" s="3"/>
      <x:c r="B38" s="263" t="str">
        <x:v>Mini money meeting</x:v>
      </x:c>
      <x:c r="C38" s="248" t="str">
        <x:v>Mini money meeting</x:v>
      </x:c>
      <x:c r="D38" s="248" t="str">
        <x:v>Mini money meeting</x:v>
      </x:c>
      <x:c r="E38" s="248" t="str">
        <x:v>Mini money meeting</x:v>
      </x:c>
      <x:c r="F38" s="248" t="str">
        <x:v>Mini money meeting</x:v>
      </x:c>
      <x:c r="G38" s="248" t="str">
        <x:v>Mini money meeting</x:v>
      </x:c>
      <x:c r="H38" s="248" t="str">
        <x:v>Mini money meeting</x:v>
      </x:c>
      <x:c r="I38" s="248" t="str">
        <x:v>Mini money meeting</x:v>
      </x:c>
      <x:c r="J38" s="248" t="str">
        <x:v>Mini money meeting</x:v>
      </x:c>
      <x:c r="K38" s="248" t="str">
        <x:v>Mini money meeting</x:v>
      </x:c>
      <x:c r="L38" s="244"/>
      <x:c r="M38" s="244"/>
      <x:c r="N38" s="244"/>
      <x:c r="O38" s="244"/>
      <x:c r="P38" s="244"/>
      <x:c r="Q38" s="244"/>
      <x:c r="R38" s="244"/>
      <x:c r="S38" s="244"/>
      <x:c r="T38" s="244"/>
      <x:c r="U38" s="261"/>
    </x:row>
    <x:row r="39">
      <x:c r="A39" s="3"/>
      <x:c r="B39" s="264" t="str">
        <x:v>1</x:v>
      </x:c>
      <x:c r="C39" s="250" t="str">
        <x:v>What category is over budget and why?</x:v>
      </x:c>
      <x:c r="D39" s="250" t="str"/>
      <x:c r="E39" s="250" t="str"/>
      <x:c r="F39" s="250" t="str"/>
      <x:c r="G39" s="250" t="str"/>
      <x:c r="H39" s="250" t="str"/>
      <x:c r="I39" s="250" t="str"/>
      <x:c r="J39" s="250" t="str"/>
      <x:c r="K39" s="250" t="str"/>
      <x:c r="L39" s="244"/>
      <x:c r="M39" s="244"/>
      <x:c r="N39" s="244"/>
      <x:c r="O39" s="244"/>
      <x:c r="P39" s="244"/>
      <x:c r="Q39" s="244"/>
      <x:c r="R39" s="244"/>
      <x:c r="S39" s="244"/>
      <x:c r="T39" s="244"/>
      <x:c r="U39" s="261"/>
    </x:row>
    <x:row r="40">
      <x:c r="A40" s="3"/>
      <x:c r="B40" s="264" t="str">
        <x:v>2</x:v>
      </x:c>
      <x:c r="C40" s="250" t="str">
        <x:v>Was the issue a real need, a timing problem, or a convenience purchase?</x:v>
      </x:c>
      <x:c r="D40" s="250" t="str"/>
      <x:c r="E40" s="250" t="str"/>
      <x:c r="F40" s="250" t="str"/>
      <x:c r="G40" s="250" t="str"/>
      <x:c r="H40" s="250" t="str"/>
      <x:c r="I40" s="250" t="str"/>
      <x:c r="J40" s="250" t="str"/>
      <x:c r="K40" s="250" t="str"/>
      <x:c r="L40" s="244"/>
      <x:c r="M40" s="244"/>
      <x:c r="N40" s="244"/>
      <x:c r="O40" s="244"/>
      <x:c r="P40" s="244"/>
      <x:c r="Q40" s="244"/>
      <x:c r="R40" s="244"/>
      <x:c r="S40" s="244"/>
      <x:c r="T40" s="244"/>
      <x:c r="U40" s="261"/>
    </x:row>
    <x:row r="41">
      <x:c r="A41" s="3"/>
      <x:c r="B41" s="264" t="str">
        <x:v>3</x:v>
      </x:c>
      <x:c r="C41" s="250" t="str">
        <x:v>What purchase pattern would I change before next payday?</x:v>
      </x:c>
      <x:c r="D41" s="250" t="str"/>
      <x:c r="E41" s="250" t="str"/>
      <x:c r="F41" s="250" t="str"/>
      <x:c r="G41" s="250" t="str"/>
      <x:c r="H41" s="250" t="str"/>
      <x:c r="I41" s="250" t="str"/>
      <x:c r="J41" s="250" t="str"/>
      <x:c r="K41" s="250" t="str"/>
      <x:c r="L41" s="244"/>
      <x:c r="M41" s="244"/>
      <x:c r="N41" s="244"/>
      <x:c r="O41" s="244"/>
      <x:c r="P41" s="244"/>
      <x:c r="Q41" s="244"/>
      <x:c r="R41" s="244"/>
      <x:c r="S41" s="244"/>
      <x:c r="T41" s="244"/>
      <x:c r="U41" s="261"/>
    </x:row>
    <x:row r="42">
      <x:c r="A42" s="3"/>
      <x:c r="B42" s="264" t="str">
        <x:v>4</x:v>
      </x:c>
      <x:c r="C42" s="250" t="str">
        <x:v>What one move will make next payday calmer?</x:v>
      </x:c>
      <x:c r="D42" s="250" t="str"/>
      <x:c r="E42" s="250" t="str"/>
      <x:c r="F42" s="250" t="str"/>
      <x:c r="G42" s="250" t="str"/>
      <x:c r="H42" s="250" t="str"/>
      <x:c r="I42" s="250" t="str"/>
      <x:c r="J42" s="250" t="str"/>
      <x:c r="K42" s="250" t="str"/>
      <x:c r="L42" s="244"/>
      <x:c r="M42" s="244"/>
      <x:c r="N42" s="244"/>
      <x:c r="O42" s="244"/>
      <x:c r="P42" s="244"/>
      <x:c r="Q42" s="244"/>
      <x:c r="R42" s="244"/>
      <x:c r="S42" s="244"/>
      <x:c r="T42" s="244"/>
      <x:c r="U42" s="261"/>
    </x:row>
    <x:row r="43">
      <x:c r="A43" s="3"/>
      <x:c r="B43" s="262"/>
      <x:c r="C43" s="244"/>
      <x:c r="D43" s="244"/>
      <x:c r="E43" s="244"/>
      <x:c r="F43" s="244"/>
      <x:c r="G43" s="244"/>
      <x:c r="H43" s="244"/>
      <x:c r="I43" s="244"/>
      <x:c r="J43" s="244"/>
      <x:c r="K43" s="244"/>
      <x:c r="L43" s="244"/>
      <x:c r="M43" s="244"/>
      <x:c r="N43" s="244"/>
      <x:c r="O43" s="244"/>
      <x:c r="P43" s="244"/>
      <x:c r="Q43" s="244"/>
      <x:c r="R43" s="244"/>
      <x:c r="S43" s="244"/>
      <x:c r="T43" s="244"/>
      <x:c r="U43" s="261"/>
    </x:row>
    <x:row r="44">
      <x:c r="A44" s="3"/>
      <x:c r="B44" s="262"/>
      <x:c r="C44" s="244"/>
      <x:c r="D44" s="244"/>
      <x:c r="E44" s="244"/>
      <x:c r="F44" s="244"/>
      <x:c r="G44" s="244"/>
      <x:c r="H44" s="244"/>
      <x:c r="I44" s="244"/>
      <x:c r="J44" s="244"/>
      <x:c r="K44" s="244"/>
      <x:c r="L44" s="244"/>
      <x:c r="M44" s="244"/>
      <x:c r="N44" s="244"/>
      <x:c r="O44" s="244"/>
      <x:c r="P44" s="244"/>
      <x:c r="Q44" s="244"/>
      <x:c r="R44" s="244"/>
      <x:c r="S44" s="244"/>
      <x:c r="T44" s="244"/>
      <x:c r="U44" s="261"/>
    </x:row>
    <x:row r="45">
      <x:c r="A45" s="3"/>
      <x:c r="B45" s="262"/>
      <x:c r="C45" s="244"/>
      <x:c r="D45" s="244"/>
      <x:c r="E45" s="244"/>
      <x:c r="F45" s="244"/>
      <x:c r="G45" s="244"/>
      <x:c r="H45" s="244"/>
      <x:c r="I45" s="244"/>
      <x:c r="J45" s="244"/>
      <x:c r="K45" s="244"/>
      <x:c r="L45" s="244"/>
      <x:c r="M45" s="244"/>
      <x:c r="N45" s="244"/>
      <x:c r="O45" s="244"/>
      <x:c r="P45" s="244"/>
      <x:c r="Q45" s="244"/>
      <x:c r="R45" s="244"/>
      <x:c r="S45" s="244"/>
      <x:c r="T45" s="244"/>
      <x:c r="U45" s="261"/>
    </x:row>
    <x:row r="46">
      <x:c r="A46" s="3"/>
      <x:c r="B46" s="262"/>
      <x:c r="C46" s="244"/>
      <x:c r="D46" s="244"/>
      <x:c r="E46" s="244"/>
      <x:c r="F46" s="244"/>
      <x:c r="G46" s="244"/>
      <x:c r="H46" s="244"/>
      <x:c r="I46" s="244"/>
      <x:c r="J46" s="244"/>
      <x:c r="K46" s="244"/>
      <x:c r="L46" s="244"/>
      <x:c r="M46" s="244"/>
      <x:c r="N46" s="244"/>
      <x:c r="O46" s="244"/>
      <x:c r="P46" s="244"/>
      <x:c r="Q46" s="244"/>
      <x:c r="R46" s="244"/>
      <x:c r="S46" s="244"/>
      <x:c r="T46" s="244"/>
      <x:c r="U46" s="261"/>
    </x:row>
    <x:row r="47">
      <x:c r="A47" s="3"/>
      <x:c r="B47" s="262"/>
      <x:c r="C47" s="244"/>
      <x:c r="D47" s="244"/>
      <x:c r="E47" s="244"/>
      <x:c r="F47" s="244"/>
      <x:c r="G47" s="244"/>
      <x:c r="H47" s="244"/>
      <x:c r="I47" s="244"/>
      <x:c r="J47" s="244"/>
      <x:c r="K47" s="244"/>
      <x:c r="L47" s="244"/>
      <x:c r="M47" s="244"/>
      <x:c r="N47" s="244"/>
      <x:c r="O47" s="244"/>
      <x:c r="P47" s="244"/>
      <x:c r="Q47" s="244"/>
      <x:c r="R47" s="244"/>
      <x:c r="S47" s="244"/>
      <x:c r="T47" s="244"/>
      <x:c r="U47" s="261"/>
    </x:row>
    <x:row r="48">
      <x:c r="A48" s="3"/>
      <x:c r="B48" s="262"/>
      <x:c r="C48" s="244"/>
      <x:c r="D48" s="244"/>
      <x:c r="E48" s="244"/>
      <x:c r="F48" s="244"/>
      <x:c r="G48" s="244"/>
      <x:c r="H48" s="244"/>
      <x:c r="I48" s="244"/>
      <x:c r="J48" s="244"/>
      <x:c r="K48" s="244"/>
      <x:c r="L48" s="244"/>
      <x:c r="M48" s="244"/>
      <x:c r="N48" s="244"/>
      <x:c r="O48" s="244"/>
      <x:c r="P48" s="244"/>
      <x:c r="Q48" s="244"/>
      <x:c r="R48" s="244"/>
      <x:c r="S48" s="244"/>
      <x:c r="T48" s="244"/>
      <x:c r="U48" s="261"/>
    </x:row>
    <x:row r="49">
      <x:c r="A49" s="3"/>
      <x:c r="B49" s="262"/>
      <x:c r="C49" s="244"/>
      <x:c r="D49" s="244"/>
      <x:c r="E49" s="244"/>
      <x:c r="F49" s="244"/>
      <x:c r="G49" s="244"/>
      <x:c r="H49" s="244"/>
      <x:c r="I49" s="244"/>
      <x:c r="J49" s="244"/>
      <x:c r="K49" s="244"/>
      <x:c r="L49" s="244"/>
      <x:c r="M49" s="244"/>
      <x:c r="N49" s="244"/>
      <x:c r="O49" s="244"/>
      <x:c r="P49" s="244"/>
      <x:c r="Q49" s="244"/>
      <x:c r="R49" s="244"/>
      <x:c r="S49" s="244"/>
      <x:c r="T49" s="244"/>
      <x:c r="U49" s="261"/>
    </x:row>
    <x:row r="50">
      <x:c r="A50" s="3"/>
      <x:c r="B50" s="262"/>
      <x:c r="C50" s="244"/>
      <x:c r="D50" s="244"/>
      <x:c r="E50" s="244"/>
      <x:c r="F50" s="244"/>
      <x:c r="G50" s="244"/>
      <x:c r="H50" s="244"/>
      <x:c r="I50" s="244"/>
      <x:c r="J50" s="244"/>
      <x:c r="K50" s="244"/>
      <x:c r="L50" s="244"/>
      <x:c r="M50" s="244"/>
      <x:c r="N50" s="244"/>
      <x:c r="O50" s="244"/>
      <x:c r="P50" s="244"/>
      <x:c r="Q50" s="244"/>
      <x:c r="R50" s="244"/>
      <x:c r="S50" s="244"/>
      <x:c r="T50" s="244"/>
      <x:c r="U50" s="261"/>
    </x:row>
    <x:row r="51">
      <x:c r="A51" s="3"/>
      <x:c r="B51" s="262"/>
      <x:c r="C51" s="244"/>
      <x:c r="D51" s="244"/>
      <x:c r="E51" s="244"/>
      <x:c r="F51" s="244"/>
      <x:c r="G51" s="244"/>
      <x:c r="H51" s="244"/>
      <x:c r="I51" s="244"/>
      <x:c r="J51" s="244"/>
      <x:c r="K51" s="244"/>
      <x:c r="L51" s="244"/>
      <x:c r="M51" s="244"/>
      <x:c r="N51" s="244"/>
      <x:c r="O51" s="244"/>
      <x:c r="P51" s="244"/>
      <x:c r="Q51" s="244"/>
      <x:c r="R51" s="244"/>
      <x:c r="S51" s="244"/>
      <x:c r="T51" s="244"/>
      <x:c r="U51" s="261"/>
    </x:row>
    <x:row r="52">
      <x:c r="A52" s="3"/>
      <x:c r="B52" s="262"/>
      <x:c r="C52" s="244"/>
      <x:c r="D52" s="244"/>
      <x:c r="E52" s="244"/>
      <x:c r="F52" s="244"/>
      <x:c r="G52" s="244"/>
      <x:c r="H52" s="244"/>
      <x:c r="I52" s="244"/>
      <x:c r="J52" s="244"/>
      <x:c r="K52" s="244"/>
      <x:c r="L52" s="244"/>
      <x:c r="M52" s="244"/>
      <x:c r="N52" s="244"/>
      <x:c r="O52" s="244"/>
      <x:c r="P52" s="244"/>
      <x:c r="Q52" s="244"/>
      <x:c r="R52" s="244"/>
      <x:c r="S52" s="244"/>
      <x:c r="T52" s="244"/>
      <x:c r="U52" s="261"/>
    </x:row>
    <x:row r="53">
      <x:c r="A53" s="3"/>
      <x:c r="B53" s="262"/>
      <x:c r="C53" s="244"/>
      <x:c r="D53" s="244"/>
      <x:c r="E53" s="244"/>
      <x:c r="F53" s="244"/>
      <x:c r="G53" s="244"/>
      <x:c r="H53" s="244"/>
      <x:c r="I53" s="244"/>
      <x:c r="J53" s="244"/>
      <x:c r="K53" s="244"/>
      <x:c r="L53" s="244"/>
      <x:c r="M53" s="244"/>
      <x:c r="N53" s="244"/>
      <x:c r="O53" s="244"/>
      <x:c r="P53" s="244"/>
      <x:c r="Q53" s="244"/>
      <x:c r="R53" s="244"/>
      <x:c r="S53" s="244"/>
      <x:c r="T53" s="244"/>
      <x:c r="U53" s="261"/>
    </x:row>
    <x:row r="54">
      <x:c r="A54" s="3"/>
      <x:c r="B54" s="262"/>
      <x:c r="C54" s="244"/>
      <x:c r="D54" s="244"/>
      <x:c r="E54" s="244"/>
      <x:c r="F54" s="244"/>
      <x:c r="G54" s="244"/>
      <x:c r="H54" s="244"/>
      <x:c r="I54" s="244"/>
      <x:c r="J54" s="244"/>
      <x:c r="K54" s="244"/>
      <x:c r="L54" s="244"/>
      <x:c r="M54" s="244"/>
      <x:c r="N54" s="244"/>
      <x:c r="O54" s="244"/>
      <x:c r="P54" s="244"/>
      <x:c r="Q54" s="244"/>
      <x:c r="R54" s="244"/>
      <x:c r="S54" s="244"/>
      <x:c r="T54" s="244"/>
      <x:c r="U54" s="261"/>
    </x:row>
    <x:row r="55">
      <x:c r="A55" s="3"/>
      <x:c r="B55" s="262"/>
      <x:c r="C55" s="244"/>
      <x:c r="D55" s="244"/>
      <x:c r="E55" s="244"/>
      <x:c r="F55" s="244"/>
      <x:c r="G55" s="244"/>
      <x:c r="H55" s="244"/>
      <x:c r="I55" s="244"/>
      <x:c r="J55" s="244"/>
      <x:c r="K55" s="244"/>
      <x:c r="L55" s="244"/>
      <x:c r="M55" s="244"/>
      <x:c r="N55" s="244"/>
      <x:c r="O55" s="244"/>
      <x:c r="P55" s="244"/>
      <x:c r="Q55" s="244"/>
      <x:c r="R55" s="244"/>
      <x:c r="S55" s="244"/>
      <x:c r="T55" s="244"/>
      <x:c r="U55" s="261"/>
    </x:row>
    <x:row r="56">
      <x:c r="A56" s="3"/>
      <x:c r="B56" s="262"/>
      <x:c r="C56" s="244"/>
      <x:c r="D56" s="244"/>
      <x:c r="E56" s="244"/>
      <x:c r="F56" s="244"/>
      <x:c r="G56" s="244"/>
      <x:c r="H56" s="244"/>
      <x:c r="I56" s="244"/>
      <x:c r="J56" s="244"/>
      <x:c r="K56" s="244"/>
      <x:c r="L56" s="244"/>
      <x:c r="M56" s="244"/>
      <x:c r="N56" s="244"/>
      <x:c r="O56" s="244"/>
      <x:c r="P56" s="244"/>
      <x:c r="Q56" s="244"/>
      <x:c r="R56" s="244"/>
      <x:c r="S56" s="244"/>
      <x:c r="T56" s="244"/>
      <x:c r="U56" s="261"/>
    </x:row>
    <x:row r="57">
      <x:c r="A57" s="3"/>
      <x:c r="B57" s="262"/>
      <x:c r="C57" s="244"/>
      <x:c r="D57" s="244"/>
      <x:c r="E57" s="244"/>
      <x:c r="F57" s="244"/>
      <x:c r="G57" s="244"/>
      <x:c r="H57" s="244"/>
      <x:c r="I57" s="244"/>
      <x:c r="J57" s="244"/>
      <x:c r="K57" s="244"/>
      <x:c r="L57" s="244"/>
      <x:c r="M57" s="244"/>
      <x:c r="N57" s="244"/>
      <x:c r="O57" s="244"/>
      <x:c r="P57" s="244"/>
      <x:c r="Q57" s="244"/>
      <x:c r="R57" s="244"/>
      <x:c r="S57" s="244"/>
      <x:c r="T57" s="244"/>
      <x:c r="U57" s="261"/>
    </x:row>
    <x:row r="58">
      <x:c r="A58" s="3"/>
      <x:c r="B58" s="262"/>
      <x:c r="C58" s="244"/>
      <x:c r="D58" s="244"/>
      <x:c r="E58" s="244"/>
      <x:c r="F58" s="244"/>
      <x:c r="G58" s="244"/>
      <x:c r="H58" s="244"/>
      <x:c r="I58" s="244"/>
      <x:c r="J58" s="244"/>
      <x:c r="K58" s="244"/>
      <x:c r="L58" s="244"/>
      <x:c r="M58" s="244"/>
      <x:c r="N58" s="244"/>
      <x:c r="O58" s="244"/>
      <x:c r="P58" s="244"/>
      <x:c r="Q58" s="244"/>
      <x:c r="R58" s="244"/>
      <x:c r="S58" s="244"/>
      <x:c r="T58" s="244"/>
      <x:c r="U58" s="261"/>
    </x:row>
    <x:row r="59">
      <x:c r="A59" s="3"/>
      <x:c r="B59" s="262"/>
      <x:c r="C59" s="244"/>
      <x:c r="D59" s="244"/>
      <x:c r="E59" s="244"/>
      <x:c r="F59" s="244"/>
      <x:c r="G59" s="244"/>
      <x:c r="H59" s="244"/>
      <x:c r="I59" s="244"/>
      <x:c r="J59" s="244"/>
      <x:c r="K59" s="244"/>
      <x:c r="L59" s="244"/>
      <x:c r="M59" s="244"/>
      <x:c r="N59" s="244"/>
      <x:c r="O59" s="244"/>
      <x:c r="P59" s="244"/>
      <x:c r="Q59" s="244"/>
      <x:c r="R59" s="244"/>
      <x:c r="S59" s="244"/>
      <x:c r="T59" s="244"/>
      <x:c r="U59" s="261"/>
    </x:row>
    <x:row r="60">
      <x:c r="A60" s="3"/>
      <x:c r="B60" s="262"/>
      <x:c r="C60" s="244"/>
      <x:c r="D60" s="244"/>
      <x:c r="E60" s="244"/>
      <x:c r="F60" s="244"/>
      <x:c r="G60" s="244"/>
      <x:c r="H60" s="244"/>
      <x:c r="I60" s="244"/>
      <x:c r="J60" s="244"/>
      <x:c r="K60" s="244"/>
      <x:c r="L60" s="244"/>
      <x:c r="M60" s="244"/>
      <x:c r="N60" s="244"/>
      <x:c r="O60" s="244"/>
      <x:c r="P60" s="244"/>
      <x:c r="Q60" s="244"/>
      <x:c r="R60" s="244"/>
      <x:c r="S60" s="244"/>
      <x:c r="T60" s="244"/>
      <x:c r="U60" s="261"/>
    </x:row>
    <x:row r="61">
      <x:c r="A61" s="3"/>
      <x:c r="B61" s="262"/>
      <x:c r="C61" s="244"/>
      <x:c r="D61" s="244"/>
      <x:c r="E61" s="244"/>
      <x:c r="F61" s="244"/>
      <x:c r="G61" s="244"/>
      <x:c r="H61" s="244"/>
      <x:c r="I61" s="244"/>
      <x:c r="J61" s="244"/>
      <x:c r="K61" s="244"/>
      <x:c r="L61" s="244"/>
      <x:c r="M61" s="244"/>
      <x:c r="N61" s="244"/>
      <x:c r="O61" s="244"/>
      <x:c r="P61" s="244"/>
      <x:c r="Q61" s="244"/>
      <x:c r="R61" s="244"/>
      <x:c r="S61" s="244"/>
      <x:c r="T61" s="244"/>
      <x:c r="U61" s="261"/>
    </x:row>
    <x:row r="62">
      <x:c r="A62" s="3"/>
      <x:c r="B62" s="262"/>
      <x:c r="C62" s="244"/>
      <x:c r="D62" s="244"/>
      <x:c r="E62" s="244"/>
      <x:c r="F62" s="244"/>
      <x:c r="G62" s="244"/>
      <x:c r="H62" s="244"/>
      <x:c r="I62" s="244"/>
      <x:c r="J62" s="244"/>
      <x:c r="K62" s="244"/>
      <x:c r="L62" s="244"/>
      <x:c r="M62" s="244"/>
      <x:c r="N62" s="244"/>
      <x:c r="O62" s="244"/>
      <x:c r="P62" s="244"/>
      <x:c r="Q62" s="244"/>
      <x:c r="R62" s="244"/>
      <x:c r="S62" s="244"/>
      <x:c r="T62" s="244"/>
      <x:c r="U62" s="261"/>
    </x:row>
    <x:row r="63">
      <x:c r="A63" s="3"/>
      <x:c r="B63" s="262"/>
      <x:c r="C63" s="244"/>
      <x:c r="D63" s="244"/>
      <x:c r="E63" s="244"/>
      <x:c r="F63" s="244"/>
      <x:c r="G63" s="244"/>
      <x:c r="H63" s="244"/>
      <x:c r="I63" s="244"/>
      <x:c r="J63" s="244"/>
      <x:c r="K63" s="244"/>
      <x:c r="L63" s="244"/>
      <x:c r="M63" s="244"/>
      <x:c r="N63" s="244"/>
      <x:c r="O63" s="244"/>
      <x:c r="P63" s="244"/>
      <x:c r="Q63" s="244"/>
      <x:c r="R63" s="244"/>
      <x:c r="S63" s="244"/>
      <x:c r="T63" s="244"/>
      <x:c r="U63" s="261"/>
    </x:row>
    <x:row r="64">
      <x:c r="A64" s="3"/>
      <x:c r="B64" s="262"/>
      <x:c r="C64" s="244"/>
      <x:c r="D64" s="244"/>
      <x:c r="E64" s="244"/>
      <x:c r="F64" s="244"/>
      <x:c r="G64" s="244"/>
      <x:c r="H64" s="244"/>
      <x:c r="I64" s="244"/>
      <x:c r="J64" s="244"/>
      <x:c r="K64" s="244"/>
      <x:c r="L64" s="244"/>
      <x:c r="M64" s="244"/>
      <x:c r="N64" s="244"/>
      <x:c r="O64" s="244"/>
      <x:c r="P64" s="244"/>
      <x:c r="Q64" s="244"/>
      <x:c r="R64" s="244"/>
      <x:c r="S64" s="244"/>
      <x:c r="T64" s="244"/>
      <x:c r="U64" s="261"/>
    </x:row>
    <x:row r="65">
      <x:c r="A65" s="3"/>
      <x:c r="B65" s="262"/>
      <x:c r="C65" s="244"/>
      <x:c r="D65" s="244"/>
      <x:c r="E65" s="244"/>
      <x:c r="F65" s="244"/>
      <x:c r="G65" s="244"/>
      <x:c r="H65" s="244"/>
      <x:c r="I65" s="244"/>
      <x:c r="J65" s="244"/>
      <x:c r="K65" s="244"/>
      <x:c r="L65" s="244"/>
      <x:c r="M65" s="244"/>
      <x:c r="N65" s="244"/>
      <x:c r="O65" s="244"/>
      <x:c r="P65" s="244"/>
      <x:c r="Q65" s="244"/>
      <x:c r="R65" s="244"/>
      <x:c r="S65" s="244"/>
      <x:c r="T65" s="244"/>
      <x:c r="U65" s="261"/>
    </x:row>
    <x:row r="66">
      <x:c r="A66" s="3"/>
      <x:c r="B66" s="262"/>
      <x:c r="C66" s="244"/>
      <x:c r="D66" s="244"/>
      <x:c r="E66" s="244"/>
      <x:c r="F66" s="244"/>
      <x:c r="G66" s="244"/>
      <x:c r="H66" s="244"/>
      <x:c r="I66" s="244"/>
      <x:c r="J66" s="244"/>
      <x:c r="K66" s="244"/>
      <x:c r="L66" s="244"/>
      <x:c r="M66" s="244"/>
      <x:c r="N66" s="244"/>
      <x:c r="O66" s="244"/>
      <x:c r="P66" s="244"/>
      <x:c r="Q66" s="244"/>
      <x:c r="R66" s="244"/>
      <x:c r="S66" s="244"/>
      <x:c r="T66" s="244"/>
      <x:c r="U66" s="261"/>
    </x:row>
    <x:row r="67">
      <x:c r="A67" s="3"/>
      <x:c r="B67" s="262"/>
      <x:c r="C67" s="244"/>
      <x:c r="D67" s="244"/>
      <x:c r="E67" s="244"/>
      <x:c r="F67" s="244"/>
      <x:c r="G67" s="244"/>
      <x:c r="H67" s="244"/>
      <x:c r="I67" s="244"/>
      <x:c r="J67" s="244"/>
      <x:c r="K67" s="244"/>
      <x:c r="L67" s="244"/>
      <x:c r="M67" s="244"/>
      <x:c r="N67" s="244"/>
      <x:c r="O67" s="244"/>
      <x:c r="P67" s="244"/>
      <x:c r="Q67" s="244"/>
      <x:c r="R67" s="244"/>
      <x:c r="S67" s="244"/>
      <x:c r="T67" s="244"/>
      <x:c r="U67" s="261"/>
    </x:row>
    <x:row r="68">
      <x:c r="A68" s="3"/>
      <x:c r="B68" s="262"/>
      <x:c r="C68" s="244"/>
      <x:c r="D68" s="244"/>
      <x:c r="E68" s="244"/>
      <x:c r="F68" s="244"/>
      <x:c r="G68" s="244"/>
      <x:c r="H68" s="244"/>
      <x:c r="I68" s="244"/>
      <x:c r="J68" s="244"/>
      <x:c r="K68" s="244"/>
      <x:c r="L68" s="244"/>
      <x:c r="M68" s="244"/>
      <x:c r="N68" s="244"/>
      <x:c r="O68" s="244"/>
      <x:c r="P68" s="244"/>
      <x:c r="Q68" s="244"/>
      <x:c r="R68" s="244"/>
      <x:c r="S68" s="244"/>
      <x:c r="T68" s="244"/>
      <x:c r="U68" s="261"/>
    </x:row>
    <x:row r="69">
      <x:c r="A69" s="3"/>
      <x:c r="B69" s="262"/>
      <x:c r="C69" s="244"/>
      <x:c r="D69" s="244"/>
      <x:c r="E69" s="244"/>
      <x:c r="F69" s="244"/>
      <x:c r="G69" s="244"/>
      <x:c r="H69" s="244"/>
      <x:c r="I69" s="244"/>
      <x:c r="J69" s="244"/>
      <x:c r="K69" s="244"/>
      <x:c r="L69" s="244"/>
      <x:c r="M69" s="244"/>
      <x:c r="N69" s="244"/>
      <x:c r="O69" s="244"/>
      <x:c r="P69" s="244"/>
      <x:c r="Q69" s="244"/>
      <x:c r="R69" s="244"/>
      <x:c r="S69" s="244"/>
      <x:c r="T69" s="244"/>
      <x:c r="U69" s="261"/>
    </x:row>
    <x:row r="70">
      <x:c r="A70" s="3"/>
      <x:c r="B70" s="262"/>
      <x:c r="C70" s="244"/>
      <x:c r="D70" s="244"/>
      <x:c r="E70" s="244"/>
      <x:c r="F70" s="244"/>
      <x:c r="G70" s="244"/>
      <x:c r="H70" s="244"/>
      <x:c r="I70" s="244"/>
      <x:c r="J70" s="244"/>
      <x:c r="K70" s="244"/>
      <x:c r="L70" s="244"/>
      <x:c r="M70" s="244"/>
      <x:c r="N70" s="244"/>
      <x:c r="O70" s="244"/>
      <x:c r="P70" s="244"/>
      <x:c r="Q70" s="244"/>
      <x:c r="R70" s="244"/>
      <x:c r="S70" s="244"/>
      <x:c r="T70" s="244"/>
      <x:c r="U70" s="261"/>
    </x:row>
    <x:row r="71">
      <x:c r="A71" s="3"/>
      <x:c r="B71" s="262"/>
      <x:c r="C71" s="244"/>
      <x:c r="D71" s="244"/>
      <x:c r="E71" s="244"/>
      <x:c r="F71" s="244"/>
      <x:c r="G71" s="244"/>
      <x:c r="H71" s="244"/>
      <x:c r="I71" s="244"/>
      <x:c r="J71" s="244"/>
      <x:c r="K71" s="244"/>
      <x:c r="L71" s="244"/>
      <x:c r="M71" s="244"/>
      <x:c r="N71" s="244"/>
      <x:c r="O71" s="244"/>
      <x:c r="P71" s="244"/>
      <x:c r="Q71" s="244"/>
      <x:c r="R71" s="244"/>
      <x:c r="S71" s="244"/>
      <x:c r="T71" s="244"/>
      <x:c r="U71" s="261"/>
    </x:row>
    <x:row r="72">
      <x:c r="A72" s="3"/>
      <x:c r="B72" s="262"/>
      <x:c r="C72" s="244"/>
      <x:c r="D72" s="244"/>
      <x:c r="E72" s="244"/>
      <x:c r="F72" s="244"/>
      <x:c r="G72" s="244"/>
      <x:c r="H72" s="244"/>
      <x:c r="I72" s="244"/>
      <x:c r="J72" s="244"/>
      <x:c r="K72" s="244"/>
      <x:c r="L72" s="244"/>
      <x:c r="M72" s="244"/>
      <x:c r="N72" s="244"/>
      <x:c r="O72" s="244"/>
      <x:c r="P72" s="244"/>
      <x:c r="Q72" s="244"/>
      <x:c r="R72" s="244"/>
      <x:c r="S72" s="244"/>
      <x:c r="T72" s="244"/>
      <x:c r="U72" s="261"/>
    </x:row>
    <x:row r="73">
      <x:c r="A73" s="3"/>
      <x:c r="B73" s="262"/>
      <x:c r="C73" s="244"/>
      <x:c r="D73" s="244"/>
      <x:c r="E73" s="244"/>
      <x:c r="F73" s="244"/>
      <x:c r="G73" s="244"/>
      <x:c r="H73" s="244"/>
      <x:c r="I73" s="244"/>
      <x:c r="J73" s="244"/>
      <x:c r="K73" s="244"/>
      <x:c r="L73" s="244"/>
      <x:c r="M73" s="244"/>
      <x:c r="N73" s="244"/>
      <x:c r="O73" s="244"/>
      <x:c r="P73" s="244"/>
      <x:c r="Q73" s="244"/>
      <x:c r="R73" s="244"/>
      <x:c r="S73" s="244"/>
      <x:c r="T73" s="244"/>
      <x:c r="U73" s="261"/>
    </x:row>
    <x:row r="74">
      <x:c r="A74" s="3"/>
      <x:c r="B74" s="262"/>
      <x:c r="C74" s="244"/>
      <x:c r="D74" s="244"/>
      <x:c r="E74" s="244"/>
      <x:c r="F74" s="244"/>
      <x:c r="G74" s="244"/>
      <x:c r="H74" s="244"/>
      <x:c r="I74" s="244"/>
      <x:c r="J74" s="244"/>
      <x:c r="K74" s="244"/>
      <x:c r="L74" s="244"/>
      <x:c r="M74" s="244"/>
      <x:c r="N74" s="244"/>
      <x:c r="O74" s="244"/>
      <x:c r="P74" s="244"/>
      <x:c r="Q74" s="244"/>
      <x:c r="R74" s="244"/>
      <x:c r="S74" s="244"/>
      <x:c r="T74" s="244"/>
      <x:c r="U74" s="261"/>
    </x:row>
    <x:row r="75">
      <x:c r="A75" s="3"/>
      <x:c r="B75" s="262"/>
      <x:c r="C75" s="244"/>
      <x:c r="D75" s="244"/>
      <x:c r="E75" s="244"/>
      <x:c r="F75" s="244"/>
      <x:c r="G75" s="244"/>
      <x:c r="H75" s="244"/>
      <x:c r="I75" s="244"/>
      <x:c r="J75" s="244"/>
      <x:c r="K75" s="244"/>
      <x:c r="L75" s="244"/>
      <x:c r="M75" s="244"/>
      <x:c r="N75" s="244"/>
      <x:c r="O75" s="244"/>
      <x:c r="P75" s="244"/>
      <x:c r="Q75" s="244"/>
      <x:c r="R75" s="244"/>
      <x:c r="S75" s="244"/>
      <x:c r="T75" s="244"/>
      <x:c r="U75" s="261"/>
    </x:row>
    <x:row r="76">
      <x:c r="A76" s="3"/>
      <x:c r="B76" s="262"/>
      <x:c r="C76" s="244"/>
      <x:c r="D76" s="244"/>
      <x:c r="E76" s="244"/>
      <x:c r="F76" s="244"/>
      <x:c r="G76" s="244"/>
      <x:c r="H76" s="244"/>
      <x:c r="I76" s="244"/>
      <x:c r="J76" s="244"/>
      <x:c r="K76" s="244"/>
      <x:c r="L76" s="244"/>
      <x:c r="M76" s="244"/>
      <x:c r="N76" s="244"/>
      <x:c r="O76" s="244"/>
      <x:c r="P76" s="244"/>
      <x:c r="Q76" s="244"/>
      <x:c r="R76" s="244"/>
      <x:c r="S76" s="244"/>
      <x:c r="T76" s="244"/>
      <x:c r="U76" s="261"/>
    </x:row>
    <x:row r="77">
      <x:c r="A77" s="3"/>
      <x:c r="B77" s="262"/>
      <x:c r="C77" s="244"/>
      <x:c r="D77" s="244"/>
      <x:c r="E77" s="244"/>
      <x:c r="F77" s="244"/>
      <x:c r="G77" s="244"/>
      <x:c r="H77" s="244"/>
      <x:c r="I77" s="244"/>
      <x:c r="J77" s="244"/>
      <x:c r="K77" s="244"/>
      <x:c r="L77" s="244"/>
      <x:c r="M77" s="244"/>
      <x:c r="N77" s="244"/>
      <x:c r="O77" s="244"/>
      <x:c r="P77" s="244"/>
      <x:c r="Q77" s="244"/>
      <x:c r="R77" s="244"/>
      <x:c r="S77" s="244"/>
      <x:c r="T77" s="244"/>
      <x:c r="U77" s="261"/>
    </x:row>
    <x:row r="78">
      <x:c r="A78" s="3"/>
      <x:c r="B78" s="262"/>
      <x:c r="C78" s="244"/>
      <x:c r="D78" s="244"/>
      <x:c r="E78" s="244"/>
      <x:c r="F78" s="244"/>
      <x:c r="G78" s="244"/>
      <x:c r="H78" s="244"/>
      <x:c r="I78" s="244"/>
      <x:c r="J78" s="244"/>
      <x:c r="K78" s="244"/>
      <x:c r="L78" s="244"/>
      <x:c r="M78" s="244"/>
      <x:c r="N78" s="244"/>
      <x:c r="O78" s="244"/>
      <x:c r="P78" s="244"/>
      <x:c r="Q78" s="244"/>
      <x:c r="R78" s="244"/>
      <x:c r="S78" s="244"/>
      <x:c r="T78" s="244"/>
      <x:c r="U78" s="261"/>
    </x:row>
    <x:row r="79">
      <x:c r="A79" s="3"/>
      <x:c r="B79" s="262"/>
      <x:c r="C79" s="244"/>
      <x:c r="D79" s="244"/>
      <x:c r="E79" s="244"/>
      <x:c r="F79" s="244"/>
      <x:c r="G79" s="244"/>
      <x:c r="H79" s="244"/>
      <x:c r="I79" s="244"/>
      <x:c r="J79" s="244"/>
      <x:c r="K79" s="244"/>
      <x:c r="L79" s="244"/>
      <x:c r="M79" s="244"/>
      <x:c r="N79" s="244"/>
      <x:c r="O79" s="244"/>
      <x:c r="P79" s="244"/>
      <x:c r="Q79" s="244"/>
      <x:c r="R79" s="244"/>
      <x:c r="S79" s="244"/>
      <x:c r="T79" s="244"/>
      <x:c r="U79" s="261"/>
    </x:row>
    <x:row r="80">
      <x:c r="A80" s="3"/>
      <x:c r="B80" s="262"/>
      <x:c r="C80" s="244"/>
      <x:c r="D80" s="244"/>
      <x:c r="E80" s="244"/>
      <x:c r="F80" s="244"/>
      <x:c r="G80" s="244"/>
      <x:c r="H80" s="244"/>
      <x:c r="I80" s="244"/>
      <x:c r="J80" s="244"/>
      <x:c r="K80" s="244"/>
      <x:c r="L80" s="244"/>
      <x:c r="M80" s="244"/>
      <x:c r="N80" s="244"/>
      <x:c r="O80" s="244"/>
      <x:c r="P80" s="244"/>
      <x:c r="Q80" s="244"/>
      <x:c r="R80" s="244"/>
      <x:c r="S80" s="244"/>
      <x:c r="T80" s="244"/>
      <x:c r="U80" s="261"/>
    </x:row>
    <x:row r="81">
      <x:c r="A81" s="3"/>
      <x:c r="B81" s="262"/>
      <x:c r="C81" s="244"/>
      <x:c r="D81" s="244"/>
      <x:c r="E81" s="244"/>
      <x:c r="F81" s="244"/>
      <x:c r="G81" s="244"/>
      <x:c r="H81" s="244"/>
      <x:c r="I81" s="244"/>
      <x:c r="J81" s="244"/>
      <x:c r="K81" s="244"/>
      <x:c r="L81" s="244"/>
      <x:c r="M81" s="244"/>
      <x:c r="N81" s="244"/>
      <x:c r="O81" s="244"/>
      <x:c r="P81" s="244"/>
      <x:c r="Q81" s="244"/>
      <x:c r="R81" s="244"/>
      <x:c r="S81" s="244"/>
      <x:c r="T81" s="244"/>
      <x:c r="U81" s="261"/>
    </x:row>
    <x:row r="82">
      <x:c r="A82" s="3"/>
      <x:c r="B82" s="262"/>
      <x:c r="C82" s="244"/>
      <x:c r="D82" s="244"/>
      <x:c r="E82" s="244"/>
      <x:c r="F82" s="244"/>
      <x:c r="G82" s="244"/>
      <x:c r="H82" s="244"/>
      <x:c r="I82" s="244"/>
      <x:c r="J82" s="244"/>
      <x:c r="K82" s="244"/>
      <x:c r="L82" s="244"/>
      <x:c r="M82" s="244"/>
      <x:c r="N82" s="244"/>
      <x:c r="O82" s="244"/>
      <x:c r="P82" s="244"/>
      <x:c r="Q82" s="244"/>
      <x:c r="R82" s="244"/>
      <x:c r="S82" s="244"/>
      <x:c r="T82" s="244"/>
      <x:c r="U82" s="261"/>
    </x:row>
    <x:row r="83">
      <x:c r="A83" s="3"/>
      <x:c r="B83" s="262"/>
      <x:c r="C83" s="244"/>
      <x:c r="D83" s="244"/>
      <x:c r="E83" s="244"/>
      <x:c r="F83" s="244"/>
      <x:c r="G83" s="244"/>
      <x:c r="H83" s="244"/>
      <x:c r="I83" s="244"/>
      <x:c r="J83" s="244"/>
      <x:c r="K83" s="244"/>
      <x:c r="L83" s="244"/>
      <x:c r="M83" s="244"/>
      <x:c r="N83" s="244"/>
      <x:c r="O83" s="244"/>
      <x:c r="P83" s="244"/>
      <x:c r="Q83" s="244"/>
      <x:c r="R83" s="244"/>
      <x:c r="S83" s="244"/>
      <x:c r="T83" s="244"/>
      <x:c r="U83" s="261"/>
    </x:row>
    <x:row r="84">
      <x:c r="A84" s="3"/>
      <x:c r="B84" s="262"/>
      <x:c r="C84" s="244"/>
      <x:c r="D84" s="244"/>
      <x:c r="E84" s="244"/>
      <x:c r="F84" s="244"/>
      <x:c r="G84" s="244"/>
      <x:c r="H84" s="244"/>
      <x:c r="I84" s="244"/>
      <x:c r="J84" s="244"/>
      <x:c r="K84" s="244"/>
      <x:c r="L84" s="244"/>
      <x:c r="M84" s="244"/>
      <x:c r="N84" s="244"/>
      <x:c r="O84" s="244"/>
      <x:c r="P84" s="244"/>
      <x:c r="Q84" s="244"/>
      <x:c r="R84" s="244"/>
      <x:c r="S84" s="244"/>
      <x:c r="T84" s="244"/>
      <x:c r="U84" s="261"/>
    </x:row>
    <x:row r="85">
      <x:c r="A85" s="3"/>
      <x:c r="B85" s="262"/>
      <x:c r="C85" s="244"/>
      <x:c r="D85" s="244"/>
      <x:c r="E85" s="244"/>
      <x:c r="F85" s="244"/>
      <x:c r="G85" s="244"/>
      <x:c r="H85" s="244"/>
      <x:c r="I85" s="244"/>
      <x:c r="J85" s="244"/>
      <x:c r="K85" s="244"/>
      <x:c r="L85" s="244"/>
      <x:c r="M85" s="244"/>
      <x:c r="N85" s="244"/>
      <x:c r="O85" s="244"/>
      <x:c r="P85" s="244"/>
      <x:c r="Q85" s="244"/>
      <x:c r="R85" s="244"/>
      <x:c r="S85" s="244"/>
      <x:c r="T85" s="244"/>
      <x:c r="U85" s="261"/>
    </x:row>
    <x:row r="86">
      <x:c r="A86" s="3"/>
      <x:c r="B86" s="262"/>
      <x:c r="C86" s="244"/>
      <x:c r="D86" s="244"/>
      <x:c r="E86" s="244"/>
      <x:c r="F86" s="244"/>
      <x:c r="G86" s="244"/>
      <x:c r="H86" s="244"/>
      <x:c r="I86" s="244"/>
      <x:c r="J86" s="244"/>
      <x:c r="K86" s="244"/>
      <x:c r="L86" s="244"/>
      <x:c r="M86" s="244"/>
      <x:c r="N86" s="244"/>
      <x:c r="O86" s="244"/>
      <x:c r="P86" s="244"/>
      <x:c r="Q86" s="244"/>
      <x:c r="R86" s="244"/>
      <x:c r="S86" s="244"/>
      <x:c r="T86" s="244"/>
      <x:c r="U86" s="261"/>
    </x:row>
    <x:row r="87">
      <x:c r="A87" s="3"/>
      <x:c r="B87" s="262"/>
      <x:c r="C87" s="244"/>
      <x:c r="D87" s="244"/>
      <x:c r="E87" s="244"/>
      <x:c r="F87" s="244"/>
      <x:c r="G87" s="244"/>
      <x:c r="H87" s="244"/>
      <x:c r="I87" s="244"/>
      <x:c r="J87" s="244"/>
      <x:c r="K87" s="244"/>
      <x:c r="L87" s="244"/>
      <x:c r="M87" s="244"/>
      <x:c r="N87" s="244"/>
      <x:c r="O87" s="244"/>
      <x:c r="P87" s="244"/>
      <x:c r="Q87" s="244"/>
      <x:c r="R87" s="244"/>
      <x:c r="S87" s="244"/>
      <x:c r="T87" s="244"/>
      <x:c r="U87" s="261"/>
    </x:row>
    <x:row r="88">
      <x:c r="A88" s="3"/>
      <x:c r="B88" s="262"/>
      <x:c r="C88" s="244"/>
      <x:c r="D88" s="244"/>
      <x:c r="E88" s="244"/>
      <x:c r="F88" s="244"/>
      <x:c r="G88" s="244"/>
      <x:c r="H88" s="244"/>
      <x:c r="I88" s="244"/>
      <x:c r="J88" s="244"/>
      <x:c r="K88" s="244"/>
      <x:c r="L88" s="244"/>
      <x:c r="M88" s="244"/>
      <x:c r="N88" s="244"/>
      <x:c r="O88" s="244"/>
      <x:c r="P88" s="244"/>
      <x:c r="Q88" s="244"/>
      <x:c r="R88" s="244"/>
      <x:c r="S88" s="244"/>
      <x:c r="T88" s="244"/>
      <x:c r="U88" s="261"/>
    </x:row>
    <x:row r="89">
      <x:c r="A89" s="3"/>
      <x:c r="B89" s="262"/>
      <x:c r="C89" s="244"/>
      <x:c r="D89" s="244"/>
      <x:c r="E89" s="244"/>
      <x:c r="F89" s="244"/>
      <x:c r="G89" s="244"/>
      <x:c r="H89" s="244"/>
      <x:c r="I89" s="244"/>
      <x:c r="J89" s="244"/>
      <x:c r="K89" s="244"/>
      <x:c r="L89" s="244"/>
      <x:c r="M89" s="244"/>
      <x:c r="N89" s="244"/>
      <x:c r="O89" s="244"/>
      <x:c r="P89" s="244"/>
      <x:c r="Q89" s="244"/>
      <x:c r="R89" s="244"/>
      <x:c r="S89" s="244"/>
      <x:c r="T89" s="244"/>
      <x:c r="U89" s="261"/>
    </x:row>
    <x:row r="90">
      <x:c r="A90" s="3"/>
      <x:c r="B90" s="266"/>
      <x:c r="C90" s="267"/>
      <x:c r="D90" s="267"/>
      <x:c r="E90" s="267"/>
      <x:c r="F90" s="267"/>
      <x:c r="G90" s="267"/>
      <x:c r="H90" s="267"/>
      <x:c r="I90" s="267"/>
      <x:c r="J90" s="267"/>
      <x:c r="K90" s="267"/>
      <x:c r="L90" s="267"/>
      <x:c r="M90" s="267"/>
      <x:c r="N90" s="267"/>
      <x:c r="O90" s="267"/>
      <x:c r="P90" s="267"/>
      <x:c r="Q90" s="267"/>
      <x:c r="R90" s="267"/>
      <x:c r="S90" s="267"/>
      <x:c r="T90" s="267"/>
      <x:c r="U90" s="268"/>
    </x:row>
  </x:sheetData>
  <x:mergeCells>
    <x:mergeCell ref="B2:K2"/>
    <x:mergeCell ref="B3:K3"/>
    <x:mergeCell ref="B4:K4"/>
    <x:mergeCell ref="B6:K6"/>
    <x:mergeCell ref="B10:K10"/>
    <x:mergeCell ref="B11:C11"/>
    <x:mergeCell ref="B12:C13"/>
    <x:mergeCell ref="D11:E11"/>
    <x:mergeCell ref="D12:E13"/>
    <x:mergeCell ref="F11:G11"/>
    <x:mergeCell ref="F12:G13"/>
    <x:mergeCell ref="H11:I11"/>
    <x:mergeCell ref="H12:I13"/>
    <x:mergeCell ref="J11:K11"/>
    <x:mergeCell ref="J12:K13"/>
    <x:mergeCell ref="B16:G16"/>
    <x:mergeCell ref="I16:K16"/>
    <x:mergeCell ref="I17:K17"/>
    <x:mergeCell ref="I18:K18"/>
    <x:mergeCell ref="I19:K19"/>
    <x:mergeCell ref="I20:K20"/>
    <x:mergeCell ref="I21:K21"/>
    <x:mergeCell ref="I22:K22"/>
    <x:mergeCell ref="I23:K23"/>
    <x:mergeCell ref="I24:K25"/>
    <x:mergeCell ref="B38:K38"/>
    <x:mergeCell ref="C39:K39"/>
    <x:mergeCell ref="C40:K40"/>
    <x:mergeCell ref="C41:K41"/>
    <x:mergeCell ref="C42:K42"/>
  </x:mergeCells>
  <x:conditionalFormatting sqref="E18:E28">
    <x:cfRule type="dataBar" priority="1">
      <x:dataBar>
        <x:cfvo type="min"/>
        <x:cfvo type="max"/>
        <x:color rgb="FF4E719D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E18:E35">
    <x:cfRule type="dataBar" priority="2">
      <x:dataBar>
        <x:cfvo type="min"/>
        <x:cfvo type="max"/>
        <x:color rgb="FF4E719D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4E719D"/>
            </x14:dataBar>
          </x14:cfRule>
          <xm:sqref>E18:E28</xm:sqref>
        </x14:conditionalFormatting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FF4E719D"/>
            </x14:dataBar>
          </x14:cfRule>
          <xm:sqref>E18:E35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.6700000762939453" hidden="0" customWidth="1"/>
    <x:col min="2" max="2" width="20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7.780000686645508" hidden="0" customWidth="1"/>
    <x:col min="8" max="8" width="25.559999465942383" hidden="0" customWidth="1"/>
    <x:col min="9" max="9" width="18.889999389648438" hidden="0" customWidth="1"/>
    <x:col min="10" max="10" width="23.329999923706055" hidden="0" customWidth="1"/>
    <x:col min="11" max="11" width="20" hidden="0" customWidth="1"/>
    <x:col min="12" max="12" width="17.780000686645508" hidden="0" customWidth="1"/>
    <x:col min="13" max="13" width="16.670000076293945" hidden="0" customWidth="1"/>
    <x:col min="14" max="14" width="16.670000076293945" hidden="0" customWidth="1"/>
    <x:col min="15" max="15" width="16.670000076293945" hidden="0" customWidth="1"/>
    <x:col min="16" max="16" width="16.670000076293945" hidden="0" customWidth="1"/>
    <x:col min="17" max="17" width="16.670000076293945" hidden="0" customWidth="1"/>
    <x:col min="18" max="18" width="16.670000076293945" hidden="0" customWidth="1"/>
    <x:col min="19" max="19" width="16.670000076293945" hidden="0" customWidth="1"/>
    <x:col min="20" max="20" width="16.670000076293945" hidden="0" customWidth="1"/>
    <x:col min="21" max="21" width="16.670000076293945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>
      <x:c r="A2" s="3"/>
      <x:c r="B2" s="230" t="str">
        <x:v>Monthly Plan</x:v>
      </x:c>
      <x:c r="C2" s="231" t="str"/>
      <x:c r="D2" s="231" t="str"/>
      <x:c r="E2" s="231" t="str"/>
      <x:c r="F2" s="231" t="str"/>
      <x:c r="G2" s="231" t="str"/>
      <x:c r="H2" s="231" t="str"/>
      <x:c r="I2" s="231" t="str"/>
      <x:c r="J2" s="231" t="str"/>
      <x:c r="K2" s="232" t="str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>
      <x:c r="A3" s="3"/>
      <x:c r="B3" s="233" t="str">
        <x:v>Keep a separate budget for every month of the year.</x:v>
      </x:c>
      <x:c r="C3" s="6" t="str"/>
      <x:c r="D3" s="6" t="str"/>
      <x:c r="E3" s="6" t="str"/>
      <x:c r="F3" s="6" t="str"/>
      <x:c r="G3" s="6" t="str"/>
      <x:c r="H3" s="6" t="str"/>
      <x:c r="I3" s="6" t="str"/>
      <x:c r="J3" s="6" t="str"/>
      <x:c r="K3" s="234" t="str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>
      <x:c r="A4" s="3"/>
      <x:c r="B4" s="235" t="str">
        <x:v>Change the blue input cells. Prior months remain available for comparisons.</x:v>
      </x:c>
      <x:c r="C4" s="236" t="str"/>
      <x:c r="D4" s="236" t="str"/>
      <x:c r="E4" s="236" t="str"/>
      <x:c r="F4" s="236" t="str"/>
      <x:c r="G4" s="236" t="str"/>
      <x:c r="H4" s="236" t="str"/>
      <x:c r="I4" s="236" t="str"/>
      <x:c r="J4" s="236" t="str"/>
      <x:c r="K4" s="237" t="str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</x:row>
    <x:row r="6">
      <x:c r="A6" s="3"/>
      <x:c r="B6" s="256" t="str">
        <x:v>2026 Monthly Budgets - type only in the blue cells</x:v>
      </x:c>
      <x:c r="C6" s="257" t="str">
        <x:v>2026 Monthly Budgets - type only in the blue cells</x:v>
      </x:c>
      <x:c r="D6" s="257" t="str">
        <x:v>2026 Monthly Budgets - type only in the blue cells</x:v>
      </x:c>
      <x:c r="E6" s="257" t="str">
        <x:v>2026 Monthly Budgets - type only in the blue cells</x:v>
      </x:c>
      <x:c r="F6" s="257" t="str">
        <x:v>2026 Monthly Budgets - type only in the blue cells</x:v>
      </x:c>
      <x:c r="G6" s="257" t="str">
        <x:v>2026 Monthly Budgets - type only in the blue cells</x:v>
      </x:c>
      <x:c r="H6" s="257" t="str">
        <x:v>2026 Monthly Budgets - type only in the blue cells</x:v>
      </x:c>
      <x:c r="I6" s="257" t="str">
        <x:v>2026 Monthly Budgets - type only in the blue cells</x:v>
      </x:c>
      <x:c r="J6" s="257" t="str">
        <x:v>2026 Monthly Budgets - type only in the blue cells</x:v>
      </x:c>
      <x:c r="K6" s="257" t="str">
        <x:v>2026 Monthly Budgets - type only in the blue cells</x:v>
      </x:c>
      <x:c r="L6" s="257" t="str">
        <x:v>2026 Monthly Budgets - type only in the blue cells</x:v>
      </x:c>
      <x:c r="M6" s="257" t="str">
        <x:v>2026 Monthly Budgets - type only in the blue cells</x:v>
      </x:c>
      <x:c r="N6" s="257" t="str">
        <x:v>2026 Monthly Budgets - type only in the blue cells</x:v>
      </x:c>
      <x:c r="O6" s="257" t="str">
        <x:v>2026 Monthly Budgets - type only in the blue cells</x:v>
      </x:c>
      <x:c r="P6" s="257" t="str">
        <x:v>2026 Monthly Budgets - type only in the blue cells</x:v>
      </x:c>
      <x:c r="Q6" s="257" t="str">
        <x:v>2026 Monthly Budgets - type only in the blue cells</x:v>
      </x:c>
      <x:c r="R6" s="257" t="str">
        <x:v>2026 Monthly Budgets - type only in the blue cells</x:v>
      </x:c>
      <x:c r="S6" s="257" t="str">
        <x:v>2026 Monthly Budgets - type only in the blue cells</x:v>
      </x:c>
      <x:c r="T6" s="257" t="str">
        <x:v>2026 Monthly Budgets - type only in the blue cells</x:v>
      </x:c>
      <x:c r="U6" s="305" t="str">
        <x:v>2026 Monthly Budgets - type only in the blue cells</x:v>
      </x:c>
    </x:row>
    <x:row r="7" ht="40.5" customHeight="1">
      <x:c r="A7" s="3"/>
      <x:c r="B7" s="337" t="str">
        <x:v>Month</x:v>
      </x:c>
      <x:c r="C7" s="338" t="str">
        <x:v>Expected Income</x:v>
      </x:c>
      <x:c r="D7" s="338" t="str">
        <x:v>Housing</x:v>
      </x:c>
      <x:c r="E7" s="338" t="str">
        <x:v>Utilities</x:v>
      </x:c>
      <x:c r="F7" s="338" t="str">
        <x:v>Insurance</x:v>
      </x:c>
      <x:c r="G7" s="338" t="str">
        <x:v>Phone &amp; Internet</x:v>
      </x:c>
      <x:c r="H7" s="338" t="str">
        <x:v>Debt</x:v>
      </x:c>
      <x:c r="I7" s="338" t="str">
        <x:v>Subscriptions</x:v>
      </x:c>
      <x:c r="J7" s="338" t="str">
        <x:v>Savings Transfers</x:v>
      </x:c>
      <x:c r="K7" s="338" t="str">
        <x:v>Groceries</x:v>
      </x:c>
      <x:c r="L7" s="338" t="str">
        <x:v>Transportation</x:v>
      </x:c>
      <x:c r="M7" s="338" t="str">
        <x:v>Medical / Health</x:v>
      </x:c>
      <x:c r="N7" s="338" t="str">
        <x:v>Childcare / Family</x:v>
      </x:c>
      <x:c r="O7" s="338" t="str">
        <x:v>Pets</x:v>
      </x:c>
      <x:c r="P7" s="338" t="str">
        <x:v>Food &amp; Dining</x:v>
      </x:c>
      <x:c r="Q7" s="338" t="str">
        <x:v>Shopping / Personal</x:v>
      </x:c>
      <x:c r="R7" s="338" t="str">
        <x:v>Entertainment</x:v>
      </x:c>
      <x:c r="S7" s="338" t="str">
        <x:v>Travel</x:v>
      </x:c>
      <x:c r="T7" s="338" t="str">
        <x:v>Irregular Planned</x:v>
      </x:c>
      <x:c r="U7" s="339" t="str">
        <x:v>Miscellaneous</x:v>
      </x:c>
    </x:row>
    <x:row r="8">
      <x:c r="A8" s="3"/>
      <x:c r="B8" s="307" t="n">
        <x:v>46023</x:v>
      </x:c>
      <x:c r="C8" s="300" t="n">
        <x:v>4850</x:v>
      </x:c>
      <x:c r="D8" s="300" t="n">
        <x:v>1850</x:v>
      </x:c>
      <x:c r="E8" s="300" t="n">
        <x:v>250</x:v>
      </x:c>
      <x:c r="F8" s="300" t="n">
        <x:v>240</x:v>
      </x:c>
      <x:c r="G8" s="300" t="n">
        <x:v>170</x:v>
      </x:c>
      <x:c r="H8" s="300" t="n">
        <x:v>520</x:v>
      </x:c>
      <x:c r="I8" s="300" t="n">
        <x:v>218</x:v>
      </x:c>
      <x:c r="J8" s="300" t="n">
        <x:v>400</x:v>
      </x:c>
      <x:c r="K8" s="300" t="n">
        <x:v>500</x:v>
      </x:c>
      <x:c r="L8" s="300" t="n">
        <x:v>150</x:v>
      </x:c>
      <x:c r="M8" s="300" t="n">
        <x:v>100</x:v>
      </x:c>
      <x:c r="N8" s="300" t="n">
        <x:v>0</x:v>
      </x:c>
      <x:c r="O8" s="300" t="n">
        <x:v>90</x:v>
      </x:c>
      <x:c r="P8" s="300" t="n">
        <x:v>250</x:v>
      </x:c>
      <x:c r="Q8" s="300" t="n">
        <x:v>200</x:v>
      </x:c>
      <x:c r="R8" s="300" t="n">
        <x:v>100</x:v>
      </x:c>
      <x:c r="S8" s="300" t="n">
        <x:v>125</x:v>
      </x:c>
      <x:c r="T8" s="300" t="n">
        <x:v>250</x:v>
      </x:c>
      <x:c r="U8" s="308" t="n">
        <x:v>50</x:v>
      </x:c>
    </x:row>
    <x:row r="9">
      <x:c r="A9" s="3"/>
      <x:c r="B9" s="307" t="n">
        <x:v>46054</x:v>
      </x:c>
      <x:c r="C9" s="300" t="n">
        <x:v>4850</x:v>
      </x:c>
      <x:c r="D9" s="300" t="n">
        <x:v>1850</x:v>
      </x:c>
      <x:c r="E9" s="300" t="n">
        <x:v>250</x:v>
      </x:c>
      <x:c r="F9" s="300" t="n">
        <x:v>240</x:v>
      </x:c>
      <x:c r="G9" s="300" t="n">
        <x:v>170</x:v>
      </x:c>
      <x:c r="H9" s="300" t="n">
        <x:v>520</x:v>
      </x:c>
      <x:c r="I9" s="300" t="n">
        <x:v>218</x:v>
      </x:c>
      <x:c r="J9" s="300" t="n">
        <x:v>400</x:v>
      </x:c>
      <x:c r="K9" s="300" t="n">
        <x:v>500</x:v>
      </x:c>
      <x:c r="L9" s="300" t="n">
        <x:v>150</x:v>
      </x:c>
      <x:c r="M9" s="300" t="n">
        <x:v>100</x:v>
      </x:c>
      <x:c r="N9" s="300" t="n">
        <x:v>0</x:v>
      </x:c>
      <x:c r="O9" s="300" t="n">
        <x:v>90</x:v>
      </x:c>
      <x:c r="P9" s="300" t="n">
        <x:v>250</x:v>
      </x:c>
      <x:c r="Q9" s="300" t="n">
        <x:v>200</x:v>
      </x:c>
      <x:c r="R9" s="300" t="n">
        <x:v>100</x:v>
      </x:c>
      <x:c r="S9" s="300" t="n">
        <x:v>125</x:v>
      </x:c>
      <x:c r="T9" s="300" t="n">
        <x:v>250</x:v>
      </x:c>
      <x:c r="U9" s="308" t="n">
        <x:v>50</x:v>
      </x:c>
    </x:row>
    <x:row r="10">
      <x:c r="A10" s="3"/>
      <x:c r="B10" s="307" t="n">
        <x:v>46082</x:v>
      </x:c>
      <x:c r="C10" s="300" t="n">
        <x:v>4850</x:v>
      </x:c>
      <x:c r="D10" s="300" t="n">
        <x:v>1850</x:v>
      </x:c>
      <x:c r="E10" s="300" t="n">
        <x:v>250</x:v>
      </x:c>
      <x:c r="F10" s="300" t="n">
        <x:v>240</x:v>
      </x:c>
      <x:c r="G10" s="300" t="n">
        <x:v>170</x:v>
      </x:c>
      <x:c r="H10" s="300" t="n">
        <x:v>520</x:v>
      </x:c>
      <x:c r="I10" s="300" t="n">
        <x:v>218</x:v>
      </x:c>
      <x:c r="J10" s="300" t="n">
        <x:v>400</x:v>
      </x:c>
      <x:c r="K10" s="300" t="n">
        <x:v>500</x:v>
      </x:c>
      <x:c r="L10" s="300" t="n">
        <x:v>150</x:v>
      </x:c>
      <x:c r="M10" s="300" t="n">
        <x:v>100</x:v>
      </x:c>
      <x:c r="N10" s="300" t="n">
        <x:v>0</x:v>
      </x:c>
      <x:c r="O10" s="300" t="n">
        <x:v>90</x:v>
      </x:c>
      <x:c r="P10" s="300" t="n">
        <x:v>250</x:v>
      </x:c>
      <x:c r="Q10" s="300" t="n">
        <x:v>200</x:v>
      </x:c>
      <x:c r="R10" s="300" t="n">
        <x:v>100</x:v>
      </x:c>
      <x:c r="S10" s="300" t="n">
        <x:v>125</x:v>
      </x:c>
      <x:c r="T10" s="300" t="n">
        <x:v>250</x:v>
      </x:c>
      <x:c r="U10" s="308" t="n">
        <x:v>50</x:v>
      </x:c>
    </x:row>
    <x:row r="11">
      <x:c r="A11" s="3"/>
      <x:c r="B11" s="307" t="n">
        <x:v>46113</x:v>
      </x:c>
      <x:c r="C11" s="300" t="n">
        <x:v>4850</x:v>
      </x:c>
      <x:c r="D11" s="300" t="n">
        <x:v>1850</x:v>
      </x:c>
      <x:c r="E11" s="300" t="n">
        <x:v>250</x:v>
      </x:c>
      <x:c r="F11" s="300" t="n">
        <x:v>240</x:v>
      </x:c>
      <x:c r="G11" s="300" t="n">
        <x:v>170</x:v>
      </x:c>
      <x:c r="H11" s="300" t="n">
        <x:v>520</x:v>
      </x:c>
      <x:c r="I11" s="300" t="n">
        <x:v>218</x:v>
      </x:c>
      <x:c r="J11" s="300" t="n">
        <x:v>400</x:v>
      </x:c>
      <x:c r="K11" s="300" t="n">
        <x:v>500</x:v>
      </x:c>
      <x:c r="L11" s="300" t="n">
        <x:v>150</x:v>
      </x:c>
      <x:c r="M11" s="300" t="n">
        <x:v>100</x:v>
      </x:c>
      <x:c r="N11" s="300" t="n">
        <x:v>0</x:v>
      </x:c>
      <x:c r="O11" s="300" t="n">
        <x:v>90</x:v>
      </x:c>
      <x:c r="P11" s="300" t="n">
        <x:v>250</x:v>
      </x:c>
      <x:c r="Q11" s="300" t="n">
        <x:v>200</x:v>
      </x:c>
      <x:c r="R11" s="300" t="n">
        <x:v>100</x:v>
      </x:c>
      <x:c r="S11" s="300" t="n">
        <x:v>125</x:v>
      </x:c>
      <x:c r="T11" s="300" t="n">
        <x:v>250</x:v>
      </x:c>
      <x:c r="U11" s="308" t="n">
        <x:v>50</x:v>
      </x:c>
    </x:row>
    <x:row r="12">
      <x:c r="A12" s="3"/>
      <x:c r="B12" s="307" t="n">
        <x:v>46143</x:v>
      </x:c>
      <x:c r="C12" s="300" t="n">
        <x:v>4850</x:v>
      </x:c>
      <x:c r="D12" s="300" t="n">
        <x:v>1850</x:v>
      </x:c>
      <x:c r="E12" s="300" t="n">
        <x:v>250</x:v>
      </x:c>
      <x:c r="F12" s="300" t="n">
        <x:v>240</x:v>
      </x:c>
      <x:c r="G12" s="300" t="n">
        <x:v>170</x:v>
      </x:c>
      <x:c r="H12" s="300" t="n">
        <x:v>520</x:v>
      </x:c>
      <x:c r="I12" s="300" t="n">
        <x:v>218</x:v>
      </x:c>
      <x:c r="J12" s="300" t="n">
        <x:v>400</x:v>
      </x:c>
      <x:c r="K12" s="300" t="n">
        <x:v>500</x:v>
      </x:c>
      <x:c r="L12" s="300" t="n">
        <x:v>150</x:v>
      </x:c>
      <x:c r="M12" s="300" t="n">
        <x:v>100</x:v>
      </x:c>
      <x:c r="N12" s="300" t="n">
        <x:v>0</x:v>
      </x:c>
      <x:c r="O12" s="300" t="n">
        <x:v>90</x:v>
      </x:c>
      <x:c r="P12" s="300" t="n">
        <x:v>250</x:v>
      </x:c>
      <x:c r="Q12" s="300" t="n">
        <x:v>200</x:v>
      </x:c>
      <x:c r="R12" s="300" t="n">
        <x:v>100</x:v>
      </x:c>
      <x:c r="S12" s="300" t="n">
        <x:v>125</x:v>
      </x:c>
      <x:c r="T12" s="300" t="n">
        <x:v>250</x:v>
      </x:c>
      <x:c r="U12" s="308" t="n">
        <x:v>50</x:v>
      </x:c>
    </x:row>
    <x:row r="13">
      <x:c r="A13" s="3"/>
      <x:c r="B13" s="307" t="n">
        <x:v>46174</x:v>
      </x:c>
      <x:c r="C13" s="300" t="n">
        <x:v>4850</x:v>
      </x:c>
      <x:c r="D13" s="300" t="n">
        <x:v>1850</x:v>
      </x:c>
      <x:c r="E13" s="300" t="n">
        <x:v>250</x:v>
      </x:c>
      <x:c r="F13" s="300" t="n">
        <x:v>240</x:v>
      </x:c>
      <x:c r="G13" s="300" t="n">
        <x:v>170</x:v>
      </x:c>
      <x:c r="H13" s="300" t="n">
        <x:v>520</x:v>
      </x:c>
      <x:c r="I13" s="300" t="n">
        <x:v>218</x:v>
      </x:c>
      <x:c r="J13" s="300" t="n">
        <x:v>400</x:v>
      </x:c>
      <x:c r="K13" s="300" t="n">
        <x:v>500</x:v>
      </x:c>
      <x:c r="L13" s="300" t="n">
        <x:v>150</x:v>
      </x:c>
      <x:c r="M13" s="300" t="n">
        <x:v>100</x:v>
      </x:c>
      <x:c r="N13" s="300" t="n">
        <x:v>0</x:v>
      </x:c>
      <x:c r="O13" s="300" t="n">
        <x:v>90</x:v>
      </x:c>
      <x:c r="P13" s="300" t="n">
        <x:v>250</x:v>
      </x:c>
      <x:c r="Q13" s="300" t="n">
        <x:v>200</x:v>
      </x:c>
      <x:c r="R13" s="300" t="n">
        <x:v>100</x:v>
      </x:c>
      <x:c r="S13" s="300" t="n">
        <x:v>125</x:v>
      </x:c>
      <x:c r="T13" s="300" t="n">
        <x:v>250</x:v>
      </x:c>
      <x:c r="U13" s="308" t="n">
        <x:v>50</x:v>
      </x:c>
    </x:row>
    <x:row r="14">
      <x:c r="A14" s="3"/>
      <x:c r="B14" s="307" t="n">
        <x:v>46204</x:v>
      </x:c>
      <x:c r="C14" s="300" t="n">
        <x:v>4850</x:v>
      </x:c>
      <x:c r="D14" s="300" t="n">
        <x:v>1850</x:v>
      </x:c>
      <x:c r="E14" s="300" t="n">
        <x:v>250</x:v>
      </x:c>
      <x:c r="F14" s="300" t="n">
        <x:v>240</x:v>
      </x:c>
      <x:c r="G14" s="300" t="n">
        <x:v>170</x:v>
      </x:c>
      <x:c r="H14" s="300" t="n">
        <x:v>520</x:v>
      </x:c>
      <x:c r="I14" s="300" t="n">
        <x:v>218</x:v>
      </x:c>
      <x:c r="J14" s="300" t="n">
        <x:v>400</x:v>
      </x:c>
      <x:c r="K14" s="300" t="n">
        <x:v>500</x:v>
      </x:c>
      <x:c r="L14" s="300" t="n">
        <x:v>150</x:v>
      </x:c>
      <x:c r="M14" s="300" t="n">
        <x:v>100</x:v>
      </x:c>
      <x:c r="N14" s="300" t="n">
        <x:v>0</x:v>
      </x:c>
      <x:c r="O14" s="300" t="n">
        <x:v>90</x:v>
      </x:c>
      <x:c r="P14" s="300" t="n">
        <x:v>250</x:v>
      </x:c>
      <x:c r="Q14" s="300" t="n">
        <x:v>200</x:v>
      </x:c>
      <x:c r="R14" s="300" t="n">
        <x:v>100</x:v>
      </x:c>
      <x:c r="S14" s="300" t="n">
        <x:v>125</x:v>
      </x:c>
      <x:c r="T14" s="300" t="n">
        <x:v>250</x:v>
      </x:c>
      <x:c r="U14" s="308" t="n">
        <x:v>50</x:v>
      </x:c>
    </x:row>
    <x:row r="15">
      <x:c r="A15" s="3"/>
      <x:c r="B15" s="307" t="n">
        <x:v>46235</x:v>
      </x:c>
      <x:c r="C15" s="300" t="n">
        <x:v>4850</x:v>
      </x:c>
      <x:c r="D15" s="300" t="n">
        <x:v>1850</x:v>
      </x:c>
      <x:c r="E15" s="300" t="n">
        <x:v>250</x:v>
      </x:c>
      <x:c r="F15" s="300" t="n">
        <x:v>240</x:v>
      </x:c>
      <x:c r="G15" s="300" t="n">
        <x:v>170</x:v>
      </x:c>
      <x:c r="H15" s="300" t="n">
        <x:v>520</x:v>
      </x:c>
      <x:c r="I15" s="300" t="n">
        <x:v>218</x:v>
      </x:c>
      <x:c r="J15" s="300" t="n">
        <x:v>400</x:v>
      </x:c>
      <x:c r="K15" s="300" t="n">
        <x:v>500</x:v>
      </x:c>
      <x:c r="L15" s="300" t="n">
        <x:v>150</x:v>
      </x:c>
      <x:c r="M15" s="300" t="n">
        <x:v>100</x:v>
      </x:c>
      <x:c r="N15" s="300" t="n">
        <x:v>0</x:v>
      </x:c>
      <x:c r="O15" s="300" t="n">
        <x:v>90</x:v>
      </x:c>
      <x:c r="P15" s="300" t="n">
        <x:v>250</x:v>
      </x:c>
      <x:c r="Q15" s="300" t="n">
        <x:v>200</x:v>
      </x:c>
      <x:c r="R15" s="300" t="n">
        <x:v>100</x:v>
      </x:c>
      <x:c r="S15" s="300" t="n">
        <x:v>125</x:v>
      </x:c>
      <x:c r="T15" s="300" t="n">
        <x:v>250</x:v>
      </x:c>
      <x:c r="U15" s="308" t="n">
        <x:v>50</x:v>
      </x:c>
    </x:row>
    <x:row r="16">
      <x:c r="A16" s="3"/>
      <x:c r="B16" s="307" t="n">
        <x:v>46266</x:v>
      </x:c>
      <x:c r="C16" s="300" t="n">
        <x:v>4850</x:v>
      </x:c>
      <x:c r="D16" s="300" t="n">
        <x:v>1850</x:v>
      </x:c>
      <x:c r="E16" s="300" t="n">
        <x:v>250</x:v>
      </x:c>
      <x:c r="F16" s="300" t="n">
        <x:v>240</x:v>
      </x:c>
      <x:c r="G16" s="300" t="n">
        <x:v>170</x:v>
      </x:c>
      <x:c r="H16" s="300" t="n">
        <x:v>520</x:v>
      </x:c>
      <x:c r="I16" s="300" t="n">
        <x:v>218</x:v>
      </x:c>
      <x:c r="J16" s="300" t="n">
        <x:v>400</x:v>
      </x:c>
      <x:c r="K16" s="300" t="n">
        <x:v>500</x:v>
      </x:c>
      <x:c r="L16" s="300" t="n">
        <x:v>150</x:v>
      </x:c>
      <x:c r="M16" s="300" t="n">
        <x:v>100</x:v>
      </x:c>
      <x:c r="N16" s="300" t="n">
        <x:v>0</x:v>
      </x:c>
      <x:c r="O16" s="300" t="n">
        <x:v>90</x:v>
      </x:c>
      <x:c r="P16" s="300" t="n">
        <x:v>250</x:v>
      </x:c>
      <x:c r="Q16" s="300" t="n">
        <x:v>200</x:v>
      </x:c>
      <x:c r="R16" s="300" t="n">
        <x:v>100</x:v>
      </x:c>
      <x:c r="S16" s="300" t="n">
        <x:v>125</x:v>
      </x:c>
      <x:c r="T16" s="300" t="n">
        <x:v>250</x:v>
      </x:c>
      <x:c r="U16" s="308" t="n">
        <x:v>50</x:v>
      </x:c>
    </x:row>
    <x:row r="17">
      <x:c r="A17" s="3"/>
      <x:c r="B17" s="307" t="n">
        <x:v>46296</x:v>
      </x:c>
      <x:c r="C17" s="300" t="n">
        <x:v>4850</x:v>
      </x:c>
      <x:c r="D17" s="300" t="n">
        <x:v>1850</x:v>
      </x:c>
      <x:c r="E17" s="300" t="n">
        <x:v>250</x:v>
      </x:c>
      <x:c r="F17" s="300" t="n">
        <x:v>240</x:v>
      </x:c>
      <x:c r="G17" s="300" t="n">
        <x:v>170</x:v>
      </x:c>
      <x:c r="H17" s="300" t="n">
        <x:v>520</x:v>
      </x:c>
      <x:c r="I17" s="300" t="n">
        <x:v>218</x:v>
      </x:c>
      <x:c r="J17" s="300" t="n">
        <x:v>400</x:v>
      </x:c>
      <x:c r="K17" s="300" t="n">
        <x:v>500</x:v>
      </x:c>
      <x:c r="L17" s="300" t="n">
        <x:v>150</x:v>
      </x:c>
      <x:c r="M17" s="300" t="n">
        <x:v>100</x:v>
      </x:c>
      <x:c r="N17" s="300" t="n">
        <x:v>0</x:v>
      </x:c>
      <x:c r="O17" s="300" t="n">
        <x:v>90</x:v>
      </x:c>
      <x:c r="P17" s="300" t="n">
        <x:v>250</x:v>
      </x:c>
      <x:c r="Q17" s="300" t="n">
        <x:v>200</x:v>
      </x:c>
      <x:c r="R17" s="300" t="n">
        <x:v>100</x:v>
      </x:c>
      <x:c r="S17" s="300" t="n">
        <x:v>125</x:v>
      </x:c>
      <x:c r="T17" s="300" t="n">
        <x:v>250</x:v>
      </x:c>
      <x:c r="U17" s="308" t="n">
        <x:v>50</x:v>
      </x:c>
    </x:row>
    <x:row r="18">
      <x:c r="A18" s="3"/>
      <x:c r="B18" s="307" t="n">
        <x:v>46327</x:v>
      </x:c>
      <x:c r="C18" s="300" t="n">
        <x:v>4850</x:v>
      </x:c>
      <x:c r="D18" s="300" t="n">
        <x:v>1850</x:v>
      </x:c>
      <x:c r="E18" s="300" t="n">
        <x:v>250</x:v>
      </x:c>
      <x:c r="F18" s="300" t="n">
        <x:v>240</x:v>
      </x:c>
      <x:c r="G18" s="300" t="n">
        <x:v>170</x:v>
      </x:c>
      <x:c r="H18" s="300" t="n">
        <x:v>520</x:v>
      </x:c>
      <x:c r="I18" s="300" t="n">
        <x:v>218</x:v>
      </x:c>
      <x:c r="J18" s="300" t="n">
        <x:v>400</x:v>
      </x:c>
      <x:c r="K18" s="300" t="n">
        <x:v>500</x:v>
      </x:c>
      <x:c r="L18" s="300" t="n">
        <x:v>150</x:v>
      </x:c>
      <x:c r="M18" s="300" t="n">
        <x:v>100</x:v>
      </x:c>
      <x:c r="N18" s="300" t="n">
        <x:v>0</x:v>
      </x:c>
      <x:c r="O18" s="300" t="n">
        <x:v>90</x:v>
      </x:c>
      <x:c r="P18" s="300" t="n">
        <x:v>250</x:v>
      </x:c>
      <x:c r="Q18" s="300" t="n">
        <x:v>200</x:v>
      </x:c>
      <x:c r="R18" s="300" t="n">
        <x:v>100</x:v>
      </x:c>
      <x:c r="S18" s="300" t="n">
        <x:v>125</x:v>
      </x:c>
      <x:c r="T18" s="300" t="n">
        <x:v>250</x:v>
      </x:c>
      <x:c r="U18" s="308" t="n">
        <x:v>50</x:v>
      </x:c>
    </x:row>
    <x:row r="19">
      <x:c r="A19" s="3"/>
      <x:c r="B19" s="307" t="n">
        <x:v>46357</x:v>
      </x:c>
      <x:c r="C19" s="300" t="n">
        <x:v>4850</x:v>
      </x:c>
      <x:c r="D19" s="300" t="n">
        <x:v>1850</x:v>
      </x:c>
      <x:c r="E19" s="300" t="n">
        <x:v>250</x:v>
      </x:c>
      <x:c r="F19" s="300" t="n">
        <x:v>240</x:v>
      </x:c>
      <x:c r="G19" s="300" t="n">
        <x:v>170</x:v>
      </x:c>
      <x:c r="H19" s="300" t="n">
        <x:v>520</x:v>
      </x:c>
      <x:c r="I19" s="300" t="n">
        <x:v>218</x:v>
      </x:c>
      <x:c r="J19" s="300" t="n">
        <x:v>400</x:v>
      </x:c>
      <x:c r="K19" s="300" t="n">
        <x:v>500</x:v>
      </x:c>
      <x:c r="L19" s="300" t="n">
        <x:v>150</x:v>
      </x:c>
      <x:c r="M19" s="300" t="n">
        <x:v>100</x:v>
      </x:c>
      <x:c r="N19" s="300" t="n">
        <x:v>0</x:v>
      </x:c>
      <x:c r="O19" s="300" t="n">
        <x:v>90</x:v>
      </x:c>
      <x:c r="P19" s="300" t="n">
        <x:v>250</x:v>
      </x:c>
      <x:c r="Q19" s="300" t="n">
        <x:v>200</x:v>
      </x:c>
      <x:c r="R19" s="300" t="n">
        <x:v>100</x:v>
      </x:c>
      <x:c r="S19" s="300" t="n">
        <x:v>125</x:v>
      </x:c>
      <x:c r="T19" s="300" t="n">
        <x:v>250</x:v>
      </x:c>
      <x:c r="U19" s="308" t="n">
        <x:v>50</x:v>
      </x:c>
    </x:row>
    <x:row r="20">
      <x:c r="A20" s="3"/>
      <x:c r="B20" s="262"/>
      <x:c r="C20" s="244"/>
      <x:c r="D20" s="244"/>
      <x:c r="E20" s="244"/>
      <x:c r="F20" s="244"/>
      <x:c r="G20" s="244"/>
      <x:c r="H20" s="244"/>
      <x:c r="I20" s="244"/>
      <x:c r="J20" s="244"/>
      <x:c r="K20" s="244"/>
      <x:c r="L20" s="244"/>
      <x:c r="M20" s="244"/>
      <x:c r="N20" s="244"/>
      <x:c r="O20" s="244"/>
      <x:c r="P20" s="244"/>
      <x:c r="Q20" s="244"/>
      <x:c r="R20" s="244"/>
      <x:c r="S20" s="244"/>
      <x:c r="T20" s="244"/>
      <x:c r="U20" s="261"/>
    </x:row>
    <x:row r="21">
      <x:c r="A21" s="3"/>
      <x:c r="B21" s="262"/>
      <x:c r="C21" s="244"/>
      <x:c r="D21" s="244"/>
      <x:c r="E21" s="244"/>
      <x:c r="F21" s="244"/>
      <x:c r="G21" s="244"/>
      <x:c r="H21" s="244"/>
      <x:c r="I21" s="244"/>
      <x:c r="J21" s="244"/>
      <x:c r="K21" s="244"/>
      <x:c r="L21" s="244"/>
      <x:c r="M21" s="244"/>
      <x:c r="N21" s="244"/>
      <x:c r="O21" s="244"/>
      <x:c r="P21" s="244"/>
      <x:c r="Q21" s="244"/>
      <x:c r="R21" s="244"/>
      <x:c r="S21" s="244"/>
      <x:c r="T21" s="244"/>
      <x:c r="U21" s="261"/>
    </x:row>
    <x:row r="22">
      <x:c r="A22" s="3"/>
      <x:c r="B22" s="263" t="str">
        <x:v>What every column means</x:v>
      </x:c>
      <x:c r="C22" s="248" t="str">
        <x:v>What every column means</x:v>
      </x:c>
      <x:c r="D22" s="248" t="str">
        <x:v>What every column means</x:v>
      </x:c>
      <x:c r="E22" s="248" t="str">
        <x:v>What every column means</x:v>
      </x:c>
      <x:c r="F22" s="248" t="str">
        <x:v>What every column means</x:v>
      </x:c>
      <x:c r="G22" s="248" t="str">
        <x:v>What every column means</x:v>
      </x:c>
      <x:c r="H22" s="248" t="str">
        <x:v>What every column means</x:v>
      </x:c>
      <x:c r="I22" s="248" t="str">
        <x:v>What every column means</x:v>
      </x:c>
      <x:c r="J22" s="248" t="str">
        <x:v>What every column means</x:v>
      </x:c>
      <x:c r="K22" s="248" t="str">
        <x:v>What every column means</x:v>
      </x:c>
      <x:c r="L22" s="248" t="str">
        <x:v>What every column means</x:v>
      </x:c>
      <x:c r="M22" s="248" t="str">
        <x:v>What every column means</x:v>
      </x:c>
      <x:c r="N22" s="248" t="str">
        <x:v>What every column means</x:v>
      </x:c>
      <x:c r="O22" s="248" t="str">
        <x:v>What every column means</x:v>
      </x:c>
      <x:c r="P22" s="248" t="str">
        <x:v>What every column means</x:v>
      </x:c>
      <x:c r="Q22" s="248" t="str">
        <x:v>What every column means</x:v>
      </x:c>
      <x:c r="R22" s="248" t="str">
        <x:v>What every column means</x:v>
      </x:c>
      <x:c r="S22" s="248" t="str">
        <x:v>What every column means</x:v>
      </x:c>
      <x:c r="T22" s="248" t="str">
        <x:v>What every column means</x:v>
      </x:c>
      <x:c r="U22" s="309" t="str">
        <x:v>What every column means</x:v>
      </x:c>
    </x:row>
    <x:row r="23">
      <x:c r="A23" s="3"/>
      <x:c r="B23" s="310" t="str">
        <x:v>Column B = the month. Column C = the income you expect to receive during that month.</x:v>
      </x:c>
      <x:c r="C23" s="250" t="str"/>
      <x:c r="D23" s="250" t="str"/>
      <x:c r="E23" s="250" t="str"/>
      <x:c r="F23" s="250" t="str"/>
      <x:c r="G23" s="250" t="str"/>
      <x:c r="H23" s="250" t="str"/>
      <x:c r="I23" s="250" t="str"/>
      <x:c r="J23" s="250" t="str"/>
      <x:c r="K23" s="250" t="str"/>
      <x:c r="L23" s="250" t="str"/>
      <x:c r="M23" s="250" t="str"/>
      <x:c r="N23" s="250" t="str"/>
      <x:c r="O23" s="250" t="str"/>
      <x:c r="P23" s="250" t="str"/>
      <x:c r="Q23" s="250" t="str"/>
      <x:c r="R23" s="250" t="str"/>
      <x:c r="S23" s="250" t="str"/>
      <x:c r="T23" s="250" t="str"/>
      <x:c r="U23" s="311" t="str"/>
    </x:row>
    <x:row r="24">
      <x:c r="A24" s="3"/>
      <x:c r="B24" s="310" t="str">
        <x:v>Columns D through U = the amount you plan to spend in the category named at the top of that column.</x:v>
      </x:c>
      <x:c r="C24" s="250" t="str"/>
      <x:c r="D24" s="250" t="str"/>
      <x:c r="E24" s="250" t="str"/>
      <x:c r="F24" s="250" t="str"/>
      <x:c r="G24" s="250" t="str"/>
      <x:c r="H24" s="250" t="str"/>
      <x:c r="I24" s="250" t="str"/>
      <x:c r="J24" s="250" t="str"/>
      <x:c r="K24" s="250" t="str"/>
      <x:c r="L24" s="250" t="str"/>
      <x:c r="M24" s="250" t="str"/>
      <x:c r="N24" s="250" t="str"/>
      <x:c r="O24" s="250" t="str"/>
      <x:c r="P24" s="250" t="str"/>
      <x:c r="Q24" s="250" t="str"/>
      <x:c r="R24" s="250" t="str"/>
      <x:c r="S24" s="250" t="str"/>
      <x:c r="T24" s="250" t="str"/>
      <x:c r="U24" s="311" t="str"/>
    </x:row>
    <x:row r="25">
      <x:c r="A25" s="3"/>
      <x:c r="B25" s="310" t="str">
        <x:v>Do not enter actual spending on this tab. Enter real transactions on Daily Log; Paycheck Map and Dashboard calculate the actuals.</x:v>
      </x:c>
      <x:c r="C25" s="250" t="str"/>
      <x:c r="D25" s="250" t="str"/>
      <x:c r="E25" s="250" t="str"/>
      <x:c r="F25" s="250" t="str"/>
      <x:c r="G25" s="250" t="str"/>
      <x:c r="H25" s="250" t="str"/>
      <x:c r="I25" s="250" t="str"/>
      <x:c r="J25" s="250" t="str"/>
      <x:c r="K25" s="250" t="str"/>
      <x:c r="L25" s="250" t="str"/>
      <x:c r="M25" s="250" t="str"/>
      <x:c r="N25" s="250" t="str"/>
      <x:c r="O25" s="250" t="str"/>
      <x:c r="P25" s="250" t="str"/>
      <x:c r="Q25" s="250" t="str"/>
      <x:c r="R25" s="250" t="str"/>
      <x:c r="S25" s="250" t="str"/>
      <x:c r="T25" s="250" t="str"/>
      <x:c r="U25" s="311" t="str"/>
    </x:row>
    <x:row r="26">
      <x:c r="A26" s="3"/>
      <x:c r="B26" s="310" t="str">
        <x:v>Irregular Planned means expected but non-monthly costs. Miscellaneous is only for genuinely uncategorized small spending.</x:v>
      </x:c>
      <x:c r="C26" s="250" t="str"/>
      <x:c r="D26" s="250" t="str"/>
      <x:c r="E26" s="250" t="str"/>
      <x:c r="F26" s="250" t="str"/>
      <x:c r="G26" s="250" t="str"/>
      <x:c r="H26" s="250" t="str"/>
      <x:c r="I26" s="250" t="str"/>
      <x:c r="J26" s="250" t="str"/>
      <x:c r="K26" s="250" t="str"/>
      <x:c r="L26" s="250" t="str"/>
      <x:c r="M26" s="250" t="str"/>
      <x:c r="N26" s="250" t="str"/>
      <x:c r="O26" s="250" t="str"/>
      <x:c r="P26" s="250" t="str"/>
      <x:c r="Q26" s="250" t="str"/>
      <x:c r="R26" s="250" t="str"/>
      <x:c r="S26" s="250" t="str"/>
      <x:c r="T26" s="250" t="str"/>
      <x:c r="U26" s="311" t="str"/>
    </x:row>
    <x:row r="27">
      <x:c r="A27" s="3"/>
      <x:c r="B27" s="262"/>
      <x:c r="C27" s="244"/>
      <x:c r="D27" s="244"/>
      <x:c r="E27" s="244"/>
      <x:c r="F27" s="244"/>
      <x:c r="G27" s="244"/>
      <x:c r="H27" s="244"/>
      <x:c r="I27" s="244"/>
      <x:c r="J27" s="244"/>
      <x:c r="K27" s="244"/>
      <x:c r="L27" s="244"/>
      <x:c r="M27" s="244"/>
      <x:c r="N27" s="244"/>
      <x:c r="O27" s="244"/>
      <x:c r="P27" s="244"/>
      <x:c r="Q27" s="244"/>
      <x:c r="R27" s="244"/>
      <x:c r="S27" s="244"/>
      <x:c r="T27" s="244"/>
      <x:c r="U27" s="261"/>
    </x:row>
    <x:row r="28">
      <x:c r="A28" s="3"/>
      <x:c r="B28" s="262"/>
      <x:c r="C28" s="244"/>
      <x:c r="D28" s="244"/>
      <x:c r="E28" s="244"/>
      <x:c r="F28" s="244"/>
      <x:c r="G28" s="244"/>
      <x:c r="H28" s="244"/>
      <x:c r="I28" s="244"/>
      <x:c r="J28" s="244"/>
      <x:c r="K28" s="244"/>
      <x:c r="L28" s="244"/>
      <x:c r="M28" s="244"/>
      <x:c r="N28" s="244"/>
      <x:c r="O28" s="244"/>
      <x:c r="P28" s="244"/>
      <x:c r="Q28" s="244"/>
      <x:c r="R28" s="244"/>
      <x:c r="S28" s="244"/>
      <x:c r="T28" s="244"/>
      <x:c r="U28" s="261"/>
    </x:row>
    <x:row r="29">
      <x:c r="A29" s="3"/>
      <x:c r="B29" s="262"/>
      <x:c r="C29" s="244"/>
      <x:c r="D29" s="244"/>
      <x:c r="E29" s="244"/>
      <x:c r="F29" s="244"/>
      <x:c r="G29" s="244"/>
      <x:c r="H29" s="244"/>
      <x:c r="I29" s="244"/>
      <x:c r="J29" s="244"/>
      <x:c r="K29" s="244"/>
      <x:c r="L29" s="244"/>
      <x:c r="M29" s="244"/>
      <x:c r="N29" s="244"/>
      <x:c r="O29" s="244"/>
      <x:c r="P29" s="244"/>
      <x:c r="Q29" s="244"/>
      <x:c r="R29" s="244"/>
      <x:c r="S29" s="244"/>
      <x:c r="T29" s="244"/>
      <x:c r="U29" s="261"/>
    </x:row>
    <x:row r="30">
      <x:c r="A30" s="3"/>
      <x:c r="B30" s="262"/>
      <x:c r="C30" s="244"/>
      <x:c r="D30" s="244"/>
      <x:c r="E30" s="244"/>
      <x:c r="F30" s="244"/>
      <x:c r="G30" s="244"/>
      <x:c r="H30" s="244"/>
      <x:c r="I30" s="244"/>
      <x:c r="J30" s="244"/>
      <x:c r="K30" s="244"/>
      <x:c r="L30" s="244"/>
      <x:c r="M30" s="244"/>
      <x:c r="N30" s="244"/>
      <x:c r="O30" s="244"/>
      <x:c r="P30" s="244"/>
      <x:c r="Q30" s="244"/>
      <x:c r="R30" s="244"/>
      <x:c r="S30" s="244"/>
      <x:c r="T30" s="244"/>
      <x:c r="U30" s="261"/>
    </x:row>
    <x:row r="31">
      <x:c r="A31" s="3"/>
      <x:c r="B31" s="262"/>
      <x:c r="C31" s="244"/>
      <x:c r="D31" s="244"/>
      <x:c r="E31" s="244"/>
      <x:c r="F31" s="244"/>
      <x:c r="G31" s="244"/>
      <x:c r="H31" s="244"/>
      <x:c r="I31" s="244"/>
      <x:c r="J31" s="244"/>
      <x:c r="K31" s="244"/>
      <x:c r="L31" s="244"/>
      <x:c r="M31" s="244"/>
      <x:c r="N31" s="244"/>
      <x:c r="O31" s="244"/>
      <x:c r="P31" s="244"/>
      <x:c r="Q31" s="244"/>
      <x:c r="R31" s="244"/>
      <x:c r="S31" s="244"/>
      <x:c r="T31" s="244"/>
      <x:c r="U31" s="261"/>
    </x:row>
    <x:row r="32">
      <x:c r="A32" s="3"/>
      <x:c r="B32" s="262"/>
      <x:c r="C32" s="244"/>
      <x:c r="D32" s="244"/>
      <x:c r="E32" s="244"/>
      <x:c r="F32" s="244"/>
      <x:c r="G32" s="244"/>
      <x:c r="H32" s="244"/>
      <x:c r="I32" s="244"/>
      <x:c r="J32" s="244"/>
      <x:c r="K32" s="244"/>
      <x:c r="L32" s="244"/>
      <x:c r="M32" s="244"/>
      <x:c r="N32" s="244"/>
      <x:c r="O32" s="244"/>
      <x:c r="P32" s="244"/>
      <x:c r="Q32" s="244"/>
      <x:c r="R32" s="244"/>
      <x:c r="S32" s="244"/>
      <x:c r="T32" s="244"/>
      <x:c r="U32" s="261"/>
    </x:row>
    <x:row r="33">
      <x:c r="A33" s="3"/>
      <x:c r="B33" s="262"/>
      <x:c r="C33" s="244"/>
      <x:c r="D33" s="244"/>
      <x:c r="E33" s="244"/>
      <x:c r="F33" s="244"/>
      <x:c r="G33" s="244"/>
      <x:c r="H33" s="244"/>
      <x:c r="I33" s="244"/>
      <x:c r="J33" s="244"/>
      <x:c r="K33" s="244"/>
      <x:c r="L33" s="244"/>
      <x:c r="M33" s="244"/>
      <x:c r="N33" s="244"/>
      <x:c r="O33" s="244"/>
      <x:c r="P33" s="244"/>
      <x:c r="Q33" s="244"/>
      <x:c r="R33" s="244"/>
      <x:c r="S33" s="244"/>
      <x:c r="T33" s="244"/>
      <x:c r="U33" s="261"/>
    </x:row>
    <x:row r="34">
      <x:c r="A34" s="3"/>
      <x:c r="B34" s="262"/>
      <x:c r="C34" s="244"/>
      <x:c r="D34" s="244"/>
      <x:c r="E34" s="244"/>
      <x:c r="F34" s="244"/>
      <x:c r="G34" s="244"/>
      <x:c r="H34" s="244"/>
      <x:c r="I34" s="244"/>
      <x:c r="J34" s="244"/>
      <x:c r="K34" s="244"/>
      <x:c r="L34" s="244"/>
      <x:c r="M34" s="244"/>
      <x:c r="N34" s="244"/>
      <x:c r="O34" s="244"/>
      <x:c r="P34" s="244"/>
      <x:c r="Q34" s="244"/>
      <x:c r="R34" s="244"/>
      <x:c r="S34" s="244"/>
      <x:c r="T34" s="244"/>
      <x:c r="U34" s="261"/>
    </x:row>
    <x:row r="35">
      <x:c r="A35" s="3"/>
      <x:c r="B35" s="262"/>
      <x:c r="C35" s="244"/>
      <x:c r="D35" s="244"/>
      <x:c r="E35" s="244"/>
      <x:c r="F35" s="244"/>
      <x:c r="G35" s="244"/>
      <x:c r="H35" s="244"/>
      <x:c r="I35" s="244"/>
      <x:c r="J35" s="244"/>
      <x:c r="K35" s="244"/>
      <x:c r="L35" s="244"/>
      <x:c r="M35" s="244"/>
      <x:c r="N35" s="244"/>
      <x:c r="O35" s="244"/>
      <x:c r="P35" s="244"/>
      <x:c r="Q35" s="244"/>
      <x:c r="R35" s="244"/>
      <x:c r="S35" s="244"/>
      <x:c r="T35" s="244"/>
      <x:c r="U35" s="261"/>
    </x:row>
    <x:row r="36">
      <x:c r="A36" s="3"/>
      <x:c r="B36" s="262"/>
      <x:c r="C36" s="244"/>
      <x:c r="D36" s="244"/>
      <x:c r="E36" s="244"/>
      <x:c r="F36" s="244"/>
      <x:c r="G36" s="244"/>
      <x:c r="H36" s="244"/>
      <x:c r="I36" s="244"/>
      <x:c r="J36" s="244"/>
      <x:c r="K36" s="244"/>
      <x:c r="L36" s="244"/>
      <x:c r="M36" s="244"/>
      <x:c r="N36" s="244"/>
      <x:c r="O36" s="244"/>
      <x:c r="P36" s="244"/>
      <x:c r="Q36" s="244"/>
      <x:c r="R36" s="244"/>
      <x:c r="S36" s="244"/>
      <x:c r="T36" s="244"/>
      <x:c r="U36" s="261"/>
    </x:row>
    <x:row r="37">
      <x:c r="A37" s="3"/>
      <x:c r="B37" s="262"/>
      <x:c r="C37" s="244"/>
      <x:c r="D37" s="244"/>
      <x:c r="E37" s="244"/>
      <x:c r="F37" s="244"/>
      <x:c r="G37" s="244"/>
      <x:c r="H37" s="244"/>
      <x:c r="I37" s="244"/>
      <x:c r="J37" s="244"/>
      <x:c r="K37" s="244"/>
      <x:c r="L37" s="244"/>
      <x:c r="M37" s="244"/>
      <x:c r="N37" s="244"/>
      <x:c r="O37" s="244"/>
      <x:c r="P37" s="244"/>
      <x:c r="Q37" s="244"/>
      <x:c r="R37" s="244"/>
      <x:c r="S37" s="244"/>
      <x:c r="T37" s="244"/>
      <x:c r="U37" s="261"/>
    </x:row>
    <x:row r="38">
      <x:c r="A38" s="3"/>
      <x:c r="B38" s="262"/>
      <x:c r="C38" s="244"/>
      <x:c r="D38" s="244"/>
      <x:c r="E38" s="244"/>
      <x:c r="F38" s="244"/>
      <x:c r="G38" s="244"/>
      <x:c r="H38" s="244"/>
      <x:c r="I38" s="244"/>
      <x:c r="J38" s="244"/>
      <x:c r="K38" s="244"/>
      <x:c r="L38" s="244"/>
      <x:c r="M38" s="244"/>
      <x:c r="N38" s="244"/>
      <x:c r="O38" s="244"/>
      <x:c r="P38" s="244"/>
      <x:c r="Q38" s="244"/>
      <x:c r="R38" s="244"/>
      <x:c r="S38" s="244"/>
      <x:c r="T38" s="244"/>
      <x:c r="U38" s="261"/>
    </x:row>
    <x:row r="39">
      <x:c r="A39" s="3"/>
      <x:c r="B39" s="262"/>
      <x:c r="C39" s="244"/>
      <x:c r="D39" s="244"/>
      <x:c r="E39" s="244"/>
      <x:c r="F39" s="244"/>
      <x:c r="G39" s="244"/>
      <x:c r="H39" s="244"/>
      <x:c r="I39" s="244"/>
      <x:c r="J39" s="244"/>
      <x:c r="K39" s="244"/>
      <x:c r="L39" s="244"/>
      <x:c r="M39" s="244"/>
      <x:c r="N39" s="244"/>
      <x:c r="O39" s="244"/>
      <x:c r="P39" s="244"/>
      <x:c r="Q39" s="244"/>
      <x:c r="R39" s="244"/>
      <x:c r="S39" s="244"/>
      <x:c r="T39" s="244"/>
      <x:c r="U39" s="261"/>
    </x:row>
    <x:row r="40">
      <x:c r="A40" s="3"/>
      <x:c r="B40" s="262"/>
      <x:c r="C40" s="244"/>
      <x:c r="D40" s="244"/>
      <x:c r="E40" s="244"/>
      <x:c r="F40" s="244"/>
      <x:c r="G40" s="244"/>
      <x:c r="H40" s="244"/>
      <x:c r="I40" s="244"/>
      <x:c r="J40" s="244"/>
      <x:c r="K40" s="244"/>
      <x:c r="L40" s="244"/>
      <x:c r="M40" s="244"/>
      <x:c r="N40" s="244"/>
      <x:c r="O40" s="244"/>
      <x:c r="P40" s="244"/>
      <x:c r="Q40" s="244"/>
      <x:c r="R40" s="244"/>
      <x:c r="S40" s="244"/>
      <x:c r="T40" s="244"/>
      <x:c r="U40" s="261"/>
    </x:row>
    <x:row r="41">
      <x:c r="A41" s="3"/>
      <x:c r="B41" s="262"/>
      <x:c r="C41" s="244"/>
      <x:c r="D41" s="244"/>
      <x:c r="E41" s="244"/>
      <x:c r="F41" s="244"/>
      <x:c r="G41" s="244"/>
      <x:c r="H41" s="244"/>
      <x:c r="I41" s="244"/>
      <x:c r="J41" s="244"/>
      <x:c r="K41" s="244"/>
      <x:c r="L41" s="244"/>
      <x:c r="M41" s="244"/>
      <x:c r="N41" s="244"/>
      <x:c r="O41" s="244"/>
      <x:c r="P41" s="244"/>
      <x:c r="Q41" s="244"/>
      <x:c r="R41" s="244"/>
      <x:c r="S41" s="244"/>
      <x:c r="T41" s="244"/>
      <x:c r="U41" s="261"/>
    </x:row>
    <x:row r="42">
      <x:c r="A42" s="3"/>
      <x:c r="B42" s="262"/>
      <x:c r="C42" s="244"/>
      <x:c r="D42" s="244"/>
      <x:c r="E42" s="244"/>
      <x:c r="F42" s="244"/>
      <x:c r="G42" s="244"/>
      <x:c r="H42" s="244"/>
      <x:c r="I42" s="244"/>
      <x:c r="J42" s="244"/>
      <x:c r="K42" s="244"/>
      <x:c r="L42" s="244"/>
      <x:c r="M42" s="244"/>
      <x:c r="N42" s="244"/>
      <x:c r="O42" s="244"/>
      <x:c r="P42" s="244"/>
      <x:c r="Q42" s="244"/>
      <x:c r="R42" s="244"/>
      <x:c r="S42" s="244"/>
      <x:c r="T42" s="244"/>
      <x:c r="U42" s="261"/>
    </x:row>
    <x:row r="43">
      <x:c r="A43" s="3"/>
      <x:c r="B43" s="262"/>
      <x:c r="C43" s="244"/>
      <x:c r="D43" s="244"/>
      <x:c r="E43" s="244"/>
      <x:c r="F43" s="244"/>
      <x:c r="G43" s="244"/>
      <x:c r="H43" s="244"/>
      <x:c r="I43" s="244"/>
      <x:c r="J43" s="244"/>
      <x:c r="K43" s="244"/>
      <x:c r="L43" s="244"/>
      <x:c r="M43" s="244"/>
      <x:c r="N43" s="244"/>
      <x:c r="O43" s="244"/>
      <x:c r="P43" s="244"/>
      <x:c r="Q43" s="244"/>
      <x:c r="R43" s="244"/>
      <x:c r="S43" s="244"/>
      <x:c r="T43" s="244"/>
      <x:c r="U43" s="261"/>
    </x:row>
    <x:row r="44">
      <x:c r="A44" s="3"/>
      <x:c r="B44" s="262"/>
      <x:c r="C44" s="244"/>
      <x:c r="D44" s="244"/>
      <x:c r="E44" s="244"/>
      <x:c r="F44" s="244"/>
      <x:c r="G44" s="244"/>
      <x:c r="H44" s="244"/>
      <x:c r="I44" s="244"/>
      <x:c r="J44" s="244"/>
      <x:c r="K44" s="244"/>
      <x:c r="L44" s="244"/>
      <x:c r="M44" s="244"/>
      <x:c r="N44" s="244"/>
      <x:c r="O44" s="244"/>
      <x:c r="P44" s="244"/>
      <x:c r="Q44" s="244"/>
      <x:c r="R44" s="244"/>
      <x:c r="S44" s="244"/>
      <x:c r="T44" s="244"/>
      <x:c r="U44" s="261"/>
    </x:row>
    <x:row r="45">
      <x:c r="A45" s="3"/>
      <x:c r="B45" s="262"/>
      <x:c r="C45" s="244"/>
      <x:c r="D45" s="244"/>
      <x:c r="E45" s="244"/>
      <x:c r="F45" s="244"/>
      <x:c r="G45" s="244"/>
      <x:c r="H45" s="244"/>
      <x:c r="I45" s="244"/>
      <x:c r="J45" s="244"/>
      <x:c r="K45" s="244"/>
      <x:c r="L45" s="244"/>
      <x:c r="M45" s="244"/>
      <x:c r="N45" s="244"/>
      <x:c r="O45" s="244"/>
      <x:c r="P45" s="244"/>
      <x:c r="Q45" s="244"/>
      <x:c r="R45" s="244"/>
      <x:c r="S45" s="244"/>
      <x:c r="T45" s="244"/>
      <x:c r="U45" s="261"/>
    </x:row>
    <x:row r="46">
      <x:c r="A46" s="3"/>
      <x:c r="B46" s="262"/>
      <x:c r="C46" s="244"/>
      <x:c r="D46" s="244"/>
      <x:c r="E46" s="244"/>
      <x:c r="F46" s="244"/>
      <x:c r="G46" s="244"/>
      <x:c r="H46" s="244"/>
      <x:c r="I46" s="244"/>
      <x:c r="J46" s="244"/>
      <x:c r="K46" s="244"/>
      <x:c r="L46" s="244"/>
      <x:c r="M46" s="244"/>
      <x:c r="N46" s="244"/>
      <x:c r="O46" s="244"/>
      <x:c r="P46" s="244"/>
      <x:c r="Q46" s="244"/>
      <x:c r="R46" s="244"/>
      <x:c r="S46" s="244"/>
      <x:c r="T46" s="244"/>
      <x:c r="U46" s="261"/>
    </x:row>
    <x:row r="47">
      <x:c r="A47" s="3"/>
      <x:c r="B47" s="262"/>
      <x:c r="C47" s="244"/>
      <x:c r="D47" s="244"/>
      <x:c r="E47" s="244"/>
      <x:c r="F47" s="244"/>
      <x:c r="G47" s="244"/>
      <x:c r="H47" s="244"/>
      <x:c r="I47" s="244"/>
      <x:c r="J47" s="244"/>
      <x:c r="K47" s="244"/>
      <x:c r="L47" s="244"/>
      <x:c r="M47" s="244"/>
      <x:c r="N47" s="244"/>
      <x:c r="O47" s="244"/>
      <x:c r="P47" s="244"/>
      <x:c r="Q47" s="244"/>
      <x:c r="R47" s="244"/>
      <x:c r="S47" s="244"/>
      <x:c r="T47" s="244"/>
      <x:c r="U47" s="261"/>
    </x:row>
    <x:row r="48">
      <x:c r="A48" s="3"/>
      <x:c r="B48" s="262"/>
      <x:c r="C48" s="244"/>
      <x:c r="D48" s="244"/>
      <x:c r="E48" s="244"/>
      <x:c r="F48" s="244"/>
      <x:c r="G48" s="244"/>
      <x:c r="H48" s="244"/>
      <x:c r="I48" s="244"/>
      <x:c r="J48" s="244"/>
      <x:c r="K48" s="244"/>
      <x:c r="L48" s="244"/>
      <x:c r="M48" s="244"/>
      <x:c r="N48" s="244"/>
      <x:c r="O48" s="244"/>
      <x:c r="P48" s="244"/>
      <x:c r="Q48" s="244"/>
      <x:c r="R48" s="244"/>
      <x:c r="S48" s="244"/>
      <x:c r="T48" s="244"/>
      <x:c r="U48" s="261"/>
    </x:row>
    <x:row r="49">
      <x:c r="A49" s="3"/>
      <x:c r="B49" s="262"/>
      <x:c r="C49" s="244"/>
      <x:c r="D49" s="244"/>
      <x:c r="E49" s="244"/>
      <x:c r="F49" s="244"/>
      <x:c r="G49" s="244"/>
      <x:c r="H49" s="244"/>
      <x:c r="I49" s="244"/>
      <x:c r="J49" s="244"/>
      <x:c r="K49" s="244"/>
      <x:c r="L49" s="244"/>
      <x:c r="M49" s="244"/>
      <x:c r="N49" s="244"/>
      <x:c r="O49" s="244"/>
      <x:c r="P49" s="244"/>
      <x:c r="Q49" s="244"/>
      <x:c r="R49" s="244"/>
      <x:c r="S49" s="244"/>
      <x:c r="T49" s="244"/>
      <x:c r="U49" s="261"/>
    </x:row>
    <x:row r="50">
      <x:c r="A50" s="3"/>
      <x:c r="B50" s="262"/>
      <x:c r="C50" s="244"/>
      <x:c r="D50" s="244"/>
      <x:c r="E50" s="244"/>
      <x:c r="F50" s="244"/>
      <x:c r="G50" s="244"/>
      <x:c r="H50" s="244"/>
      <x:c r="I50" s="244"/>
      <x:c r="J50" s="244"/>
      <x:c r="K50" s="244"/>
      <x:c r="L50" s="244"/>
      <x:c r="M50" s="244"/>
      <x:c r="N50" s="244"/>
      <x:c r="O50" s="244"/>
      <x:c r="P50" s="244"/>
      <x:c r="Q50" s="244"/>
      <x:c r="R50" s="244"/>
      <x:c r="S50" s="244"/>
      <x:c r="T50" s="244"/>
      <x:c r="U50" s="261"/>
    </x:row>
    <x:row r="51">
      <x:c r="A51" s="3"/>
      <x:c r="B51" s="262"/>
      <x:c r="C51" s="244"/>
      <x:c r="D51" s="244"/>
      <x:c r="E51" s="244"/>
      <x:c r="F51" s="244"/>
      <x:c r="G51" s="244"/>
      <x:c r="H51" s="244"/>
      <x:c r="I51" s="244"/>
      <x:c r="J51" s="244"/>
      <x:c r="K51" s="244"/>
      <x:c r="L51" s="244"/>
      <x:c r="M51" s="244"/>
      <x:c r="N51" s="244"/>
      <x:c r="O51" s="244"/>
      <x:c r="P51" s="244"/>
      <x:c r="Q51" s="244"/>
      <x:c r="R51" s="244"/>
      <x:c r="S51" s="244"/>
      <x:c r="T51" s="244"/>
      <x:c r="U51" s="261"/>
    </x:row>
    <x:row r="52">
      <x:c r="A52" s="3"/>
      <x:c r="B52" s="262"/>
      <x:c r="C52" s="244"/>
      <x:c r="D52" s="244"/>
      <x:c r="E52" s="244"/>
      <x:c r="F52" s="244"/>
      <x:c r="G52" s="244"/>
      <x:c r="H52" s="244"/>
      <x:c r="I52" s="244"/>
      <x:c r="J52" s="244"/>
      <x:c r="K52" s="244"/>
      <x:c r="L52" s="244"/>
      <x:c r="M52" s="244"/>
      <x:c r="N52" s="244"/>
      <x:c r="O52" s="244"/>
      <x:c r="P52" s="244"/>
      <x:c r="Q52" s="244"/>
      <x:c r="R52" s="244"/>
      <x:c r="S52" s="244"/>
      <x:c r="T52" s="244"/>
      <x:c r="U52" s="261"/>
    </x:row>
    <x:row r="53">
      <x:c r="A53" s="3"/>
      <x:c r="B53" s="262"/>
      <x:c r="C53" s="244"/>
      <x:c r="D53" s="244"/>
      <x:c r="E53" s="244"/>
      <x:c r="F53" s="244"/>
      <x:c r="G53" s="244"/>
      <x:c r="H53" s="244"/>
      <x:c r="I53" s="244"/>
      <x:c r="J53" s="244"/>
      <x:c r="K53" s="244"/>
      <x:c r="L53" s="244"/>
      <x:c r="M53" s="244"/>
      <x:c r="N53" s="244"/>
      <x:c r="O53" s="244"/>
      <x:c r="P53" s="244"/>
      <x:c r="Q53" s="244"/>
      <x:c r="R53" s="244"/>
      <x:c r="S53" s="244"/>
      <x:c r="T53" s="244"/>
      <x:c r="U53" s="261"/>
    </x:row>
    <x:row r="54">
      <x:c r="A54" s="3"/>
      <x:c r="B54" s="262"/>
      <x:c r="C54" s="244"/>
      <x:c r="D54" s="244"/>
      <x:c r="E54" s="244"/>
      <x:c r="F54" s="244"/>
      <x:c r="G54" s="244"/>
      <x:c r="H54" s="244"/>
      <x:c r="I54" s="244"/>
      <x:c r="J54" s="244"/>
      <x:c r="K54" s="244"/>
      <x:c r="L54" s="244"/>
      <x:c r="M54" s="244"/>
      <x:c r="N54" s="244"/>
      <x:c r="O54" s="244"/>
      <x:c r="P54" s="244"/>
      <x:c r="Q54" s="244"/>
      <x:c r="R54" s="244"/>
      <x:c r="S54" s="244"/>
      <x:c r="T54" s="244"/>
      <x:c r="U54" s="261"/>
    </x:row>
    <x:row r="55">
      <x:c r="A55" s="3"/>
      <x:c r="B55" s="262"/>
      <x:c r="C55" s="244"/>
      <x:c r="D55" s="244"/>
      <x:c r="E55" s="244"/>
      <x:c r="F55" s="244"/>
      <x:c r="G55" s="244"/>
      <x:c r="H55" s="244"/>
      <x:c r="I55" s="244"/>
      <x:c r="J55" s="244"/>
      <x:c r="K55" s="244"/>
      <x:c r="L55" s="244"/>
      <x:c r="M55" s="244"/>
      <x:c r="N55" s="244"/>
      <x:c r="O55" s="244"/>
      <x:c r="P55" s="244"/>
      <x:c r="Q55" s="244"/>
      <x:c r="R55" s="244"/>
      <x:c r="S55" s="244"/>
      <x:c r="T55" s="244"/>
      <x:c r="U55" s="261"/>
    </x:row>
    <x:row r="56">
      <x:c r="A56" s="3"/>
      <x:c r="B56" s="262"/>
      <x:c r="C56" s="244"/>
      <x:c r="D56" s="244"/>
      <x:c r="E56" s="244"/>
      <x:c r="F56" s="244"/>
      <x:c r="G56" s="244"/>
      <x:c r="H56" s="244"/>
      <x:c r="I56" s="244"/>
      <x:c r="J56" s="244"/>
      <x:c r="K56" s="244"/>
      <x:c r="L56" s="244"/>
      <x:c r="M56" s="244"/>
      <x:c r="N56" s="244"/>
      <x:c r="O56" s="244"/>
      <x:c r="P56" s="244"/>
      <x:c r="Q56" s="244"/>
      <x:c r="R56" s="244"/>
      <x:c r="S56" s="244"/>
      <x:c r="T56" s="244"/>
      <x:c r="U56" s="261"/>
    </x:row>
    <x:row r="57">
      <x:c r="A57" s="3"/>
      <x:c r="B57" s="262"/>
      <x:c r="C57" s="244"/>
      <x:c r="D57" s="244"/>
      <x:c r="E57" s="244"/>
      <x:c r="F57" s="244"/>
      <x:c r="G57" s="244"/>
      <x:c r="H57" s="244"/>
      <x:c r="I57" s="244"/>
      <x:c r="J57" s="244"/>
      <x:c r="K57" s="244"/>
      <x:c r="L57" s="244"/>
      <x:c r="M57" s="244"/>
      <x:c r="N57" s="244"/>
      <x:c r="O57" s="244"/>
      <x:c r="P57" s="244"/>
      <x:c r="Q57" s="244"/>
      <x:c r="R57" s="244"/>
      <x:c r="S57" s="244"/>
      <x:c r="T57" s="244"/>
      <x:c r="U57" s="261"/>
    </x:row>
    <x:row r="58">
      <x:c r="A58" s="3"/>
      <x:c r="B58" s="262"/>
      <x:c r="C58" s="244"/>
      <x:c r="D58" s="244"/>
      <x:c r="E58" s="244"/>
      <x:c r="F58" s="244"/>
      <x:c r="G58" s="244"/>
      <x:c r="H58" s="244"/>
      <x:c r="I58" s="244"/>
      <x:c r="J58" s="244"/>
      <x:c r="K58" s="244"/>
      <x:c r="L58" s="244"/>
      <x:c r="M58" s="244"/>
      <x:c r="N58" s="244"/>
      <x:c r="O58" s="244"/>
      <x:c r="P58" s="244"/>
      <x:c r="Q58" s="244"/>
      <x:c r="R58" s="244"/>
      <x:c r="S58" s="244"/>
      <x:c r="T58" s="244"/>
      <x:c r="U58" s="261"/>
    </x:row>
    <x:row r="59">
      <x:c r="A59" s="3"/>
      <x:c r="B59" s="262"/>
      <x:c r="C59" s="244"/>
      <x:c r="D59" s="244"/>
      <x:c r="E59" s="244"/>
      <x:c r="F59" s="244"/>
      <x:c r="G59" s="244"/>
      <x:c r="H59" s="244"/>
      <x:c r="I59" s="244"/>
      <x:c r="J59" s="244"/>
      <x:c r="K59" s="244"/>
      <x:c r="L59" s="244"/>
      <x:c r="M59" s="244"/>
      <x:c r="N59" s="244"/>
      <x:c r="O59" s="244"/>
      <x:c r="P59" s="244"/>
      <x:c r="Q59" s="244"/>
      <x:c r="R59" s="244"/>
      <x:c r="S59" s="244"/>
      <x:c r="T59" s="244"/>
      <x:c r="U59" s="261"/>
    </x:row>
    <x:row r="60">
      <x:c r="A60" s="3"/>
      <x:c r="B60" s="262"/>
      <x:c r="C60" s="244"/>
      <x:c r="D60" s="244"/>
      <x:c r="E60" s="244"/>
      <x:c r="F60" s="244"/>
      <x:c r="G60" s="244"/>
      <x:c r="H60" s="244"/>
      <x:c r="I60" s="244"/>
      <x:c r="J60" s="244"/>
      <x:c r="K60" s="244"/>
      <x:c r="L60" s="244"/>
      <x:c r="M60" s="244"/>
      <x:c r="N60" s="244"/>
      <x:c r="O60" s="244"/>
      <x:c r="P60" s="244"/>
      <x:c r="Q60" s="244"/>
      <x:c r="R60" s="244"/>
      <x:c r="S60" s="244"/>
      <x:c r="T60" s="244"/>
      <x:c r="U60" s="261"/>
    </x:row>
    <x:row r="61">
      <x:c r="A61" s="3"/>
      <x:c r="B61" s="262"/>
      <x:c r="C61" s="244"/>
      <x:c r="D61" s="244"/>
      <x:c r="E61" s="244"/>
      <x:c r="F61" s="244"/>
      <x:c r="G61" s="244"/>
      <x:c r="H61" s="244"/>
      <x:c r="I61" s="244"/>
      <x:c r="J61" s="244"/>
      <x:c r="K61" s="244"/>
      <x:c r="L61" s="244"/>
      <x:c r="M61" s="244"/>
      <x:c r="N61" s="244"/>
      <x:c r="O61" s="244"/>
      <x:c r="P61" s="244"/>
      <x:c r="Q61" s="244"/>
      <x:c r="R61" s="244"/>
      <x:c r="S61" s="244"/>
      <x:c r="T61" s="244"/>
      <x:c r="U61" s="261"/>
    </x:row>
    <x:row r="62">
      <x:c r="A62" s="3"/>
      <x:c r="B62" s="262"/>
      <x:c r="C62" s="244"/>
      <x:c r="D62" s="244"/>
      <x:c r="E62" s="244"/>
      <x:c r="F62" s="244"/>
      <x:c r="G62" s="244"/>
      <x:c r="H62" s="244"/>
      <x:c r="I62" s="244"/>
      <x:c r="J62" s="244"/>
      <x:c r="K62" s="244"/>
      <x:c r="L62" s="244"/>
      <x:c r="M62" s="244"/>
      <x:c r="N62" s="244"/>
      <x:c r="O62" s="244"/>
      <x:c r="P62" s="244"/>
      <x:c r="Q62" s="244"/>
      <x:c r="R62" s="244"/>
      <x:c r="S62" s="244"/>
      <x:c r="T62" s="244"/>
      <x:c r="U62" s="261"/>
    </x:row>
    <x:row r="63">
      <x:c r="A63" s="3"/>
      <x:c r="B63" s="262"/>
      <x:c r="C63" s="244"/>
      <x:c r="D63" s="244"/>
      <x:c r="E63" s="244"/>
      <x:c r="F63" s="244"/>
      <x:c r="G63" s="244"/>
      <x:c r="H63" s="244"/>
      <x:c r="I63" s="244"/>
      <x:c r="J63" s="244"/>
      <x:c r="K63" s="244"/>
      <x:c r="L63" s="244"/>
      <x:c r="M63" s="244"/>
      <x:c r="N63" s="244"/>
      <x:c r="O63" s="244"/>
      <x:c r="P63" s="244"/>
      <x:c r="Q63" s="244"/>
      <x:c r="R63" s="244"/>
      <x:c r="S63" s="244"/>
      <x:c r="T63" s="244"/>
      <x:c r="U63" s="261"/>
    </x:row>
    <x:row r="64">
      <x:c r="A64" s="3"/>
      <x:c r="B64" s="262"/>
      <x:c r="C64" s="244"/>
      <x:c r="D64" s="244"/>
      <x:c r="E64" s="244"/>
      <x:c r="F64" s="244"/>
      <x:c r="G64" s="244"/>
      <x:c r="H64" s="244"/>
      <x:c r="I64" s="244"/>
      <x:c r="J64" s="244"/>
      <x:c r="K64" s="244"/>
      <x:c r="L64" s="244"/>
      <x:c r="M64" s="244"/>
      <x:c r="N64" s="244"/>
      <x:c r="O64" s="244"/>
      <x:c r="P64" s="244"/>
      <x:c r="Q64" s="244"/>
      <x:c r="R64" s="244"/>
      <x:c r="S64" s="244"/>
      <x:c r="T64" s="244"/>
      <x:c r="U64" s="261"/>
    </x:row>
    <x:row r="65">
      <x:c r="A65" s="3"/>
      <x:c r="B65" s="262"/>
      <x:c r="C65" s="244"/>
      <x:c r="D65" s="244"/>
      <x:c r="E65" s="244"/>
      <x:c r="F65" s="244"/>
      <x:c r="G65" s="244"/>
      <x:c r="H65" s="244"/>
      <x:c r="I65" s="244"/>
      <x:c r="J65" s="244"/>
      <x:c r="K65" s="244"/>
      <x:c r="L65" s="244"/>
      <x:c r="M65" s="244"/>
      <x:c r="N65" s="244"/>
      <x:c r="O65" s="244"/>
      <x:c r="P65" s="244"/>
      <x:c r="Q65" s="244"/>
      <x:c r="R65" s="244"/>
      <x:c r="S65" s="244"/>
      <x:c r="T65" s="244"/>
      <x:c r="U65" s="261"/>
    </x:row>
    <x:row r="66">
      <x:c r="A66" s="3"/>
      <x:c r="B66" s="262"/>
      <x:c r="C66" s="244"/>
      <x:c r="D66" s="244"/>
      <x:c r="E66" s="244"/>
      <x:c r="F66" s="244"/>
      <x:c r="G66" s="244"/>
      <x:c r="H66" s="244"/>
      <x:c r="I66" s="244"/>
      <x:c r="J66" s="244"/>
      <x:c r="K66" s="244"/>
      <x:c r="L66" s="244"/>
      <x:c r="M66" s="244"/>
      <x:c r="N66" s="244"/>
      <x:c r="O66" s="244"/>
      <x:c r="P66" s="244"/>
      <x:c r="Q66" s="244"/>
      <x:c r="R66" s="244"/>
      <x:c r="S66" s="244"/>
      <x:c r="T66" s="244"/>
      <x:c r="U66" s="261"/>
    </x:row>
    <x:row r="67">
      <x:c r="A67" s="3"/>
      <x:c r="B67" s="262"/>
      <x:c r="C67" s="244"/>
      <x:c r="D67" s="244"/>
      <x:c r="E67" s="244"/>
      <x:c r="F67" s="244"/>
      <x:c r="G67" s="244"/>
      <x:c r="H67" s="244"/>
      <x:c r="I67" s="244"/>
      <x:c r="J67" s="244"/>
      <x:c r="K67" s="244"/>
      <x:c r="L67" s="244"/>
      <x:c r="M67" s="244"/>
      <x:c r="N67" s="244"/>
      <x:c r="O67" s="244"/>
      <x:c r="P67" s="244"/>
      <x:c r="Q67" s="244"/>
      <x:c r="R67" s="244"/>
      <x:c r="S67" s="244"/>
      <x:c r="T67" s="244"/>
      <x:c r="U67" s="261"/>
    </x:row>
    <x:row r="68">
      <x:c r="A68" s="3"/>
      <x:c r="B68" s="262"/>
      <x:c r="C68" s="244"/>
      <x:c r="D68" s="244"/>
      <x:c r="E68" s="244"/>
      <x:c r="F68" s="244"/>
      <x:c r="G68" s="244"/>
      <x:c r="H68" s="244"/>
      <x:c r="I68" s="244"/>
      <x:c r="J68" s="244"/>
      <x:c r="K68" s="244"/>
      <x:c r="L68" s="244"/>
      <x:c r="M68" s="244"/>
      <x:c r="N68" s="244"/>
      <x:c r="O68" s="244"/>
      <x:c r="P68" s="244"/>
      <x:c r="Q68" s="244"/>
      <x:c r="R68" s="244"/>
      <x:c r="S68" s="244"/>
      <x:c r="T68" s="244"/>
      <x:c r="U68" s="261"/>
    </x:row>
    <x:row r="69">
      <x:c r="A69" s="3"/>
      <x:c r="B69" s="262"/>
      <x:c r="C69" s="244"/>
      <x:c r="D69" s="244"/>
      <x:c r="E69" s="244"/>
      <x:c r="F69" s="244"/>
      <x:c r="G69" s="244"/>
      <x:c r="H69" s="244"/>
      <x:c r="I69" s="244"/>
      <x:c r="J69" s="244"/>
      <x:c r="K69" s="244"/>
      <x:c r="L69" s="244"/>
      <x:c r="M69" s="244"/>
      <x:c r="N69" s="244"/>
      <x:c r="O69" s="244"/>
      <x:c r="P69" s="244"/>
      <x:c r="Q69" s="244"/>
      <x:c r="R69" s="244"/>
      <x:c r="S69" s="244"/>
      <x:c r="T69" s="244"/>
      <x:c r="U69" s="261"/>
    </x:row>
    <x:row r="70">
      <x:c r="A70" s="3"/>
      <x:c r="B70" s="262"/>
      <x:c r="C70" s="244"/>
      <x:c r="D70" s="244"/>
      <x:c r="E70" s="244"/>
      <x:c r="F70" s="244"/>
      <x:c r="G70" s="244"/>
      <x:c r="H70" s="244"/>
      <x:c r="I70" s="244"/>
      <x:c r="J70" s="244"/>
      <x:c r="K70" s="244"/>
      <x:c r="L70" s="244"/>
      <x:c r="M70" s="244"/>
      <x:c r="N70" s="244"/>
      <x:c r="O70" s="244"/>
      <x:c r="P70" s="244"/>
      <x:c r="Q70" s="244"/>
      <x:c r="R70" s="244"/>
      <x:c r="S70" s="244"/>
      <x:c r="T70" s="244"/>
      <x:c r="U70" s="261"/>
    </x:row>
    <x:row r="71">
      <x:c r="A71" s="3"/>
      <x:c r="B71" s="262"/>
      <x:c r="C71" s="244"/>
      <x:c r="D71" s="244"/>
      <x:c r="E71" s="244"/>
      <x:c r="F71" s="244"/>
      <x:c r="G71" s="244"/>
      <x:c r="H71" s="244"/>
      <x:c r="I71" s="244"/>
      <x:c r="J71" s="244"/>
      <x:c r="K71" s="244"/>
      <x:c r="L71" s="244"/>
      <x:c r="M71" s="244"/>
      <x:c r="N71" s="244"/>
      <x:c r="O71" s="244"/>
      <x:c r="P71" s="244"/>
      <x:c r="Q71" s="244"/>
      <x:c r="R71" s="244"/>
      <x:c r="S71" s="244"/>
      <x:c r="T71" s="244"/>
      <x:c r="U71" s="261"/>
    </x:row>
    <x:row r="72">
      <x:c r="A72" s="3"/>
      <x:c r="B72" s="262"/>
      <x:c r="C72" s="244"/>
      <x:c r="D72" s="244"/>
      <x:c r="E72" s="244"/>
      <x:c r="F72" s="244"/>
      <x:c r="G72" s="244"/>
      <x:c r="H72" s="244"/>
      <x:c r="I72" s="244"/>
      <x:c r="J72" s="244"/>
      <x:c r="K72" s="244"/>
      <x:c r="L72" s="244"/>
      <x:c r="M72" s="244"/>
      <x:c r="N72" s="244"/>
      <x:c r="O72" s="244"/>
      <x:c r="P72" s="244"/>
      <x:c r="Q72" s="244"/>
      <x:c r="R72" s="244"/>
      <x:c r="S72" s="244"/>
      <x:c r="T72" s="244"/>
      <x:c r="U72" s="261"/>
    </x:row>
    <x:row r="73">
      <x:c r="A73" s="3"/>
      <x:c r="B73" s="262"/>
      <x:c r="C73" s="244"/>
      <x:c r="D73" s="244"/>
      <x:c r="E73" s="244"/>
      <x:c r="F73" s="244"/>
      <x:c r="G73" s="244"/>
      <x:c r="H73" s="244"/>
      <x:c r="I73" s="244"/>
      <x:c r="J73" s="244"/>
      <x:c r="K73" s="244"/>
      <x:c r="L73" s="244"/>
      <x:c r="M73" s="244"/>
      <x:c r="N73" s="244"/>
      <x:c r="O73" s="244"/>
      <x:c r="P73" s="244"/>
      <x:c r="Q73" s="244"/>
      <x:c r="R73" s="244"/>
      <x:c r="S73" s="244"/>
      <x:c r="T73" s="244"/>
      <x:c r="U73" s="261"/>
    </x:row>
    <x:row r="74">
      <x:c r="A74" s="3"/>
      <x:c r="B74" s="262"/>
      <x:c r="C74" s="244"/>
      <x:c r="D74" s="244"/>
      <x:c r="E74" s="244"/>
      <x:c r="F74" s="244"/>
      <x:c r="G74" s="244"/>
      <x:c r="H74" s="244"/>
      <x:c r="I74" s="244"/>
      <x:c r="J74" s="244"/>
      <x:c r="K74" s="244"/>
      <x:c r="L74" s="244"/>
      <x:c r="M74" s="244"/>
      <x:c r="N74" s="244"/>
      <x:c r="O74" s="244"/>
      <x:c r="P74" s="244"/>
      <x:c r="Q74" s="244"/>
      <x:c r="R74" s="244"/>
      <x:c r="S74" s="244"/>
      <x:c r="T74" s="244"/>
      <x:c r="U74" s="261"/>
    </x:row>
    <x:row r="75">
      <x:c r="A75" s="3"/>
      <x:c r="B75" s="262"/>
      <x:c r="C75" s="244"/>
      <x:c r="D75" s="244"/>
      <x:c r="E75" s="244"/>
      <x:c r="F75" s="244"/>
      <x:c r="G75" s="244"/>
      <x:c r="H75" s="244"/>
      <x:c r="I75" s="244"/>
      <x:c r="J75" s="244"/>
      <x:c r="K75" s="244"/>
      <x:c r="L75" s="244"/>
      <x:c r="M75" s="244"/>
      <x:c r="N75" s="244"/>
      <x:c r="O75" s="244"/>
      <x:c r="P75" s="244"/>
      <x:c r="Q75" s="244"/>
      <x:c r="R75" s="244"/>
      <x:c r="S75" s="244"/>
      <x:c r="T75" s="244"/>
      <x:c r="U75" s="261"/>
    </x:row>
    <x:row r="76">
      <x:c r="A76" s="3"/>
      <x:c r="B76" s="262"/>
      <x:c r="C76" s="244"/>
      <x:c r="D76" s="244"/>
      <x:c r="E76" s="244"/>
      <x:c r="F76" s="244"/>
      <x:c r="G76" s="244"/>
      <x:c r="H76" s="244"/>
      <x:c r="I76" s="244"/>
      <x:c r="J76" s="244"/>
      <x:c r="K76" s="244"/>
      <x:c r="L76" s="244"/>
      <x:c r="M76" s="244"/>
      <x:c r="N76" s="244"/>
      <x:c r="O76" s="244"/>
      <x:c r="P76" s="244"/>
      <x:c r="Q76" s="244"/>
      <x:c r="R76" s="244"/>
      <x:c r="S76" s="244"/>
      <x:c r="T76" s="244"/>
      <x:c r="U76" s="261"/>
    </x:row>
    <x:row r="77">
      <x:c r="A77" s="3"/>
      <x:c r="B77" s="262"/>
      <x:c r="C77" s="244"/>
      <x:c r="D77" s="244"/>
      <x:c r="E77" s="244"/>
      <x:c r="F77" s="244"/>
      <x:c r="G77" s="244"/>
      <x:c r="H77" s="244"/>
      <x:c r="I77" s="244"/>
      <x:c r="J77" s="244"/>
      <x:c r="K77" s="244"/>
      <x:c r="L77" s="244"/>
      <x:c r="M77" s="244"/>
      <x:c r="N77" s="244"/>
      <x:c r="O77" s="244"/>
      <x:c r="P77" s="244"/>
      <x:c r="Q77" s="244"/>
      <x:c r="R77" s="244"/>
      <x:c r="S77" s="244"/>
      <x:c r="T77" s="244"/>
      <x:c r="U77" s="261"/>
    </x:row>
    <x:row r="78">
      <x:c r="A78" s="3"/>
      <x:c r="B78" s="262"/>
      <x:c r="C78" s="244"/>
      <x:c r="D78" s="244"/>
      <x:c r="E78" s="244"/>
      <x:c r="F78" s="244"/>
      <x:c r="G78" s="244"/>
      <x:c r="H78" s="244"/>
      <x:c r="I78" s="244"/>
      <x:c r="J78" s="244"/>
      <x:c r="K78" s="244"/>
      <x:c r="L78" s="244"/>
      <x:c r="M78" s="244"/>
      <x:c r="N78" s="244"/>
      <x:c r="O78" s="244"/>
      <x:c r="P78" s="244"/>
      <x:c r="Q78" s="244"/>
      <x:c r="R78" s="244"/>
      <x:c r="S78" s="244"/>
      <x:c r="T78" s="244"/>
      <x:c r="U78" s="261"/>
    </x:row>
    <x:row r="79">
      <x:c r="A79" s="3"/>
      <x:c r="B79" s="262"/>
      <x:c r="C79" s="244"/>
      <x:c r="D79" s="244"/>
      <x:c r="E79" s="244"/>
      <x:c r="F79" s="244"/>
      <x:c r="G79" s="244"/>
      <x:c r="H79" s="244"/>
      <x:c r="I79" s="244"/>
      <x:c r="J79" s="244"/>
      <x:c r="K79" s="244"/>
      <x:c r="L79" s="244"/>
      <x:c r="M79" s="244"/>
      <x:c r="N79" s="244"/>
      <x:c r="O79" s="244"/>
      <x:c r="P79" s="244"/>
      <x:c r="Q79" s="244"/>
      <x:c r="R79" s="244"/>
      <x:c r="S79" s="244"/>
      <x:c r="T79" s="244"/>
      <x:c r="U79" s="261"/>
    </x:row>
    <x:row r="80">
      <x:c r="A80" s="3"/>
      <x:c r="B80" s="262"/>
      <x:c r="C80" s="244"/>
      <x:c r="D80" s="244"/>
      <x:c r="E80" s="244"/>
      <x:c r="F80" s="244"/>
      <x:c r="G80" s="244"/>
      <x:c r="H80" s="244"/>
      <x:c r="I80" s="244"/>
      <x:c r="J80" s="244"/>
      <x:c r="K80" s="244"/>
      <x:c r="L80" s="244"/>
      <x:c r="M80" s="244"/>
      <x:c r="N80" s="244"/>
      <x:c r="O80" s="244"/>
      <x:c r="P80" s="244"/>
      <x:c r="Q80" s="244"/>
      <x:c r="R80" s="244"/>
      <x:c r="S80" s="244"/>
      <x:c r="T80" s="244"/>
      <x:c r="U80" s="261"/>
    </x:row>
    <x:row r="81">
      <x:c r="A81" s="3"/>
      <x:c r="B81" s="262"/>
      <x:c r="C81" s="244"/>
      <x:c r="D81" s="244"/>
      <x:c r="E81" s="244"/>
      <x:c r="F81" s="244"/>
      <x:c r="G81" s="244"/>
      <x:c r="H81" s="244"/>
      <x:c r="I81" s="244"/>
      <x:c r="J81" s="244"/>
      <x:c r="K81" s="244"/>
      <x:c r="L81" s="244"/>
      <x:c r="M81" s="244"/>
      <x:c r="N81" s="244"/>
      <x:c r="O81" s="244"/>
      <x:c r="P81" s="244"/>
      <x:c r="Q81" s="244"/>
      <x:c r="R81" s="244"/>
      <x:c r="S81" s="244"/>
      <x:c r="T81" s="244"/>
      <x:c r="U81" s="261"/>
    </x:row>
    <x:row r="82">
      <x:c r="A82" s="3"/>
      <x:c r="B82" s="262"/>
      <x:c r="C82" s="244"/>
      <x:c r="D82" s="244"/>
      <x:c r="E82" s="244"/>
      <x:c r="F82" s="244"/>
      <x:c r="G82" s="244"/>
      <x:c r="H82" s="244"/>
      <x:c r="I82" s="244"/>
      <x:c r="J82" s="244"/>
      <x:c r="K82" s="244"/>
      <x:c r="L82" s="244"/>
      <x:c r="M82" s="244"/>
      <x:c r="N82" s="244"/>
      <x:c r="O82" s="244"/>
      <x:c r="P82" s="244"/>
      <x:c r="Q82" s="244"/>
      <x:c r="R82" s="244"/>
      <x:c r="S82" s="244"/>
      <x:c r="T82" s="244"/>
      <x:c r="U82" s="261"/>
    </x:row>
    <x:row r="83">
      <x:c r="A83" s="3"/>
      <x:c r="B83" s="262"/>
      <x:c r="C83" s="244"/>
      <x:c r="D83" s="244"/>
      <x:c r="E83" s="244"/>
      <x:c r="F83" s="244"/>
      <x:c r="G83" s="244"/>
      <x:c r="H83" s="244"/>
      <x:c r="I83" s="244"/>
      <x:c r="J83" s="244"/>
      <x:c r="K83" s="244"/>
      <x:c r="L83" s="244"/>
      <x:c r="M83" s="244"/>
      <x:c r="N83" s="244"/>
      <x:c r="O83" s="244"/>
      <x:c r="P83" s="244"/>
      <x:c r="Q83" s="244"/>
      <x:c r="R83" s="244"/>
      <x:c r="S83" s="244"/>
      <x:c r="T83" s="244"/>
      <x:c r="U83" s="261"/>
    </x:row>
    <x:row r="84">
      <x:c r="A84" s="3"/>
      <x:c r="B84" s="262"/>
      <x:c r="C84" s="244"/>
      <x:c r="D84" s="244"/>
      <x:c r="E84" s="244"/>
      <x:c r="F84" s="244"/>
      <x:c r="G84" s="244"/>
      <x:c r="H84" s="244"/>
      <x:c r="I84" s="244"/>
      <x:c r="J84" s="244"/>
      <x:c r="K84" s="244"/>
      <x:c r="L84" s="244"/>
      <x:c r="M84" s="244"/>
      <x:c r="N84" s="244"/>
      <x:c r="O84" s="244"/>
      <x:c r="P84" s="244"/>
      <x:c r="Q84" s="244"/>
      <x:c r="R84" s="244"/>
      <x:c r="S84" s="244"/>
      <x:c r="T84" s="244"/>
      <x:c r="U84" s="261"/>
    </x:row>
    <x:row r="85">
      <x:c r="A85" s="3"/>
      <x:c r="B85" s="262"/>
      <x:c r="C85" s="244"/>
      <x:c r="D85" s="244"/>
      <x:c r="E85" s="244"/>
      <x:c r="F85" s="244"/>
      <x:c r="G85" s="244"/>
      <x:c r="H85" s="244"/>
      <x:c r="I85" s="244"/>
      <x:c r="J85" s="244"/>
      <x:c r="K85" s="244"/>
      <x:c r="L85" s="244"/>
      <x:c r="M85" s="244"/>
      <x:c r="N85" s="244"/>
      <x:c r="O85" s="244"/>
      <x:c r="P85" s="244"/>
      <x:c r="Q85" s="244"/>
      <x:c r="R85" s="244"/>
      <x:c r="S85" s="244"/>
      <x:c r="T85" s="244"/>
      <x:c r="U85" s="261"/>
    </x:row>
    <x:row r="86">
      <x:c r="A86" s="3"/>
      <x:c r="B86" s="262"/>
      <x:c r="C86" s="244"/>
      <x:c r="D86" s="244"/>
      <x:c r="E86" s="244"/>
      <x:c r="F86" s="244"/>
      <x:c r="G86" s="244"/>
      <x:c r="H86" s="244"/>
      <x:c r="I86" s="244"/>
      <x:c r="J86" s="244"/>
      <x:c r="K86" s="244"/>
      <x:c r="L86" s="244"/>
      <x:c r="M86" s="244"/>
      <x:c r="N86" s="244"/>
      <x:c r="O86" s="244"/>
      <x:c r="P86" s="244"/>
      <x:c r="Q86" s="244"/>
      <x:c r="R86" s="244"/>
      <x:c r="S86" s="244"/>
      <x:c r="T86" s="244"/>
      <x:c r="U86" s="261"/>
    </x:row>
    <x:row r="87">
      <x:c r="A87" s="3"/>
      <x:c r="B87" s="262"/>
      <x:c r="C87" s="244"/>
      <x:c r="D87" s="244"/>
      <x:c r="E87" s="244"/>
      <x:c r="F87" s="244"/>
      <x:c r="G87" s="244"/>
      <x:c r="H87" s="244"/>
      <x:c r="I87" s="244"/>
      <x:c r="J87" s="244"/>
      <x:c r="K87" s="244"/>
      <x:c r="L87" s="244"/>
      <x:c r="M87" s="244"/>
      <x:c r="N87" s="244"/>
      <x:c r="O87" s="244"/>
      <x:c r="P87" s="244"/>
      <x:c r="Q87" s="244"/>
      <x:c r="R87" s="244"/>
      <x:c r="S87" s="244"/>
      <x:c r="T87" s="244"/>
      <x:c r="U87" s="261"/>
    </x:row>
    <x:row r="88">
      <x:c r="A88" s="3"/>
      <x:c r="B88" s="262"/>
      <x:c r="C88" s="244"/>
      <x:c r="D88" s="244"/>
      <x:c r="E88" s="244"/>
      <x:c r="F88" s="244"/>
      <x:c r="G88" s="244"/>
      <x:c r="H88" s="244"/>
      <x:c r="I88" s="244"/>
      <x:c r="J88" s="244"/>
      <x:c r="K88" s="244"/>
      <x:c r="L88" s="244"/>
      <x:c r="M88" s="244"/>
      <x:c r="N88" s="244"/>
      <x:c r="O88" s="244"/>
      <x:c r="P88" s="244"/>
      <x:c r="Q88" s="244"/>
      <x:c r="R88" s="244"/>
      <x:c r="S88" s="244"/>
      <x:c r="T88" s="244"/>
      <x:c r="U88" s="261"/>
    </x:row>
    <x:row r="89">
      <x:c r="A89" s="3"/>
      <x:c r="B89" s="262"/>
      <x:c r="C89" s="244"/>
      <x:c r="D89" s="244"/>
      <x:c r="E89" s="244"/>
      <x:c r="F89" s="244"/>
      <x:c r="G89" s="244"/>
      <x:c r="H89" s="244"/>
      <x:c r="I89" s="244"/>
      <x:c r="J89" s="244"/>
      <x:c r="K89" s="244"/>
      <x:c r="L89" s="244"/>
      <x:c r="M89" s="244"/>
      <x:c r="N89" s="244"/>
      <x:c r="O89" s="244"/>
      <x:c r="P89" s="244"/>
      <x:c r="Q89" s="244"/>
      <x:c r="R89" s="244"/>
      <x:c r="S89" s="244"/>
      <x:c r="T89" s="244"/>
      <x:c r="U89" s="261"/>
    </x:row>
    <x:row r="90">
      <x:c r="A90" s="3"/>
      <x:c r="B90" s="266"/>
      <x:c r="C90" s="267"/>
      <x:c r="D90" s="267"/>
      <x:c r="E90" s="267"/>
      <x:c r="F90" s="267"/>
      <x:c r="G90" s="267"/>
      <x:c r="H90" s="267"/>
      <x:c r="I90" s="267"/>
      <x:c r="J90" s="267"/>
      <x:c r="K90" s="267"/>
      <x:c r="L90" s="267"/>
      <x:c r="M90" s="267"/>
      <x:c r="N90" s="267"/>
      <x:c r="O90" s="267"/>
      <x:c r="P90" s="267"/>
      <x:c r="Q90" s="267"/>
      <x:c r="R90" s="267"/>
      <x:c r="S90" s="267"/>
      <x:c r="T90" s="267"/>
      <x:c r="U90" s="268"/>
    </x:row>
  </x:sheetData>
  <x:mergeCells>
    <x:mergeCell ref="B2:K2"/>
    <x:mergeCell ref="B3:K3"/>
    <x:mergeCell ref="B4:K4"/>
    <x:mergeCell ref="B6:U6"/>
    <x:mergeCell ref="B22:U22"/>
    <x:mergeCell ref="B23:U23"/>
    <x:mergeCell ref="B24:U24"/>
    <x:mergeCell ref="B25:U25"/>
    <x:mergeCell ref="B26:U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.6700000762939453" hidden="0" customWidth="1"/>
    <x:col min="2" max="2" width="20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7.780000686645508" hidden="0" customWidth="1"/>
    <x:col min="8" max="8" width="25.559999465942383" hidden="0" customWidth="1"/>
    <x:col min="9" max="9" width="18.889999389648438" hidden="0" customWidth="1"/>
    <x:col min="10" max="10" width="23.329999923706055" hidden="0" customWidth="1"/>
    <x:col min="11" max="11" width="20" hidden="0" customWidth="1"/>
    <x:col min="12" max="12" width="17.780000686645508" hidden="0" customWidth="1"/>
    <x:col min="13" max="13" width="16.670000076293945" hidden="0" customWidth="1"/>
    <x:col min="14" max="14" width="16.670000076293945" hidden="0" customWidth="1"/>
    <x:col min="15" max="15" width="16.670000076293945" hidden="0" customWidth="1"/>
    <x:col min="16" max="16" width="16.670000076293945" hidden="0" customWidth="1"/>
    <x:col min="17" max="17" width="16.670000076293945" hidden="0" customWidth="1"/>
    <x:col min="18" max="18" width="16.670000076293945" hidden="0" customWidth="1"/>
    <x:col min="19" max="19" width="16.670000076293945" hidden="0" customWidth="1"/>
    <x:col min="20" max="20" width="16.670000076293945" hidden="0" customWidth="1"/>
    <x:col min="21" max="21" width="16.670000076293945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>
      <x:c r="A2" s="3"/>
      <x:c r="B2" s="230" t="str">
        <x:v>Paycheck Map</x:v>
      </x:c>
      <x:c r="C2" s="231" t="str"/>
      <x:c r="D2" s="231" t="str"/>
      <x:c r="E2" s="231" t="str"/>
      <x:c r="F2" s="231" t="str"/>
      <x:c r="G2" s="231" t="str"/>
      <x:c r="H2" s="231" t="str"/>
      <x:c r="I2" s="231" t="str"/>
      <x:c r="J2" s="231" t="str"/>
      <x:c r="K2" s="232" t="str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>
      <x:c r="A3" s="3"/>
      <x:c r="B3" s="233" t="str">
        <x:v>Choose one month for a focused budget-vs-actual review.</x:v>
      </x:c>
      <x:c r="C3" s="6" t="str"/>
      <x:c r="D3" s="6" t="str"/>
      <x:c r="E3" s="6" t="str"/>
      <x:c r="F3" s="6" t="str"/>
      <x:c r="G3" s="6" t="str"/>
      <x:c r="H3" s="6" t="str"/>
      <x:c r="I3" s="6" t="str"/>
      <x:c r="J3" s="6" t="str"/>
      <x:c r="K3" s="234" t="str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>
      <x:c r="A4" s="3"/>
      <x:c r="B4" s="235" t="str">
        <x:v>Budget comes from Monthly Plan. Actuals come from Daily Log.</x:v>
      </x:c>
      <x:c r="C4" s="236" t="str"/>
      <x:c r="D4" s="236" t="str"/>
      <x:c r="E4" s="236" t="str"/>
      <x:c r="F4" s="236" t="str"/>
      <x:c r="G4" s="236" t="str"/>
      <x:c r="H4" s="236" t="str"/>
      <x:c r="I4" s="236" t="str"/>
      <x:c r="J4" s="236" t="str"/>
      <x:c r="K4" s="237" t="str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</x:row>
    <x:row r="6">
      <x:c r="A6" s="3"/>
      <x:c r="B6" s="256" t="str">
        <x:v>Selected Month</x:v>
      </x:c>
      <x:c r="C6" s="257" t="str">
        <x:v>Selected Month</x:v>
      </x:c>
      <x:c r="D6" s="257" t="str">
        <x:v>Selected Month</x:v>
      </x:c>
      <x:c r="E6" s="257" t="str">
        <x:v>Selected Month</x:v>
      </x:c>
      <x:c r="F6" s="257" t="str">
        <x:v>Selected Month</x:v>
      </x:c>
      <x:c r="G6" s="257" t="str">
        <x:v>Selected Month</x:v>
      </x:c>
      <x:c r="H6" s="257" t="str">
        <x:v>Selected Month</x:v>
      </x:c>
      <x:c r="I6" s="258"/>
      <x:c r="J6" s="257" t="str">
        <x:v>Calculated results</x:v>
      </x:c>
      <x:c r="K6" s="257" t="str">
        <x:v>Calculated results</x:v>
      </x:c>
      <x:c r="L6" s="258"/>
      <x:c r="M6" s="258"/>
      <x:c r="N6" s="258"/>
      <x:c r="O6" s="258"/>
      <x:c r="P6" s="258"/>
      <x:c r="Q6" s="258"/>
      <x:c r="R6" s="258"/>
      <x:c r="S6" s="258"/>
      <x:c r="T6" s="258"/>
      <x:c r="U6" s="259"/>
    </x:row>
    <x:row r="7">
      <x:c r="A7" s="3"/>
      <x:c r="B7" s="293" t="str">
        <x:v>Month to review</x:v>
      </x:c>
      <x:c r="C7" s="312" t="n">
        <x:v>46174</x:v>
      </x:c>
      <x:c r="D7" s="243" t="str">
        <x:v>Change this date</x:v>
      </x:c>
      <x:c r="E7" s="244"/>
      <x:c r="F7" s="244"/>
      <x:c r="G7" s="244"/>
      <x:c r="H7" s="244"/>
      <x:c r="I7" s="244"/>
      <x:c r="J7" s="313" t="str">
        <x:v>Result</x:v>
      </x:c>
      <x:c r="K7" s="313" t="str">
        <x:v>Amount / Signal</x:v>
      </x:c>
      <x:c r="L7" s="244"/>
      <x:c r="M7" s="244"/>
      <x:c r="N7" s="244"/>
      <x:c r="O7" s="244"/>
      <x:c r="P7" s="244"/>
      <x:c r="Q7" s="244"/>
      <x:c r="R7" s="244"/>
      <x:c r="S7" s="244"/>
      <x:c r="T7" s="244"/>
      <x:c r="U7" s="261"/>
    </x:row>
    <x:row r="8">
      <x:c r="A8" s="3"/>
      <x:c r="B8" s="293" t="str">
        <x:v>Report covers</x:v>
      </x:c>
      <x:c r="C8" s="243" t="str">
        <x:f>TEXT(C7,"mmm d")&amp;" to "&amp;TEXT(EOMONTH(C7,0),"mmm d, yyyy")</x:f>
        <x:v>Jun 1 to Jun 30, 2026</x:v>
      </x:c>
      <x:c r="D8" s="243" t="str"/>
      <x:c r="E8" s="244"/>
      <x:c r="F8" s="244"/>
      <x:c r="G8" s="244"/>
      <x:c r="H8" s="244"/>
      <x:c r="I8" s="244"/>
      <x:c r="J8" s="252" t="str">
        <x:v>Total income</x:v>
      </x:c>
      <x:c r="K8" s="292" t="n">
        <x:f>E12</x:f>
        <x:v>4850</x:v>
      </x:c>
      <x:c r="L8" s="244"/>
      <x:c r="M8" s="244"/>
      <x:c r="N8" s="244"/>
      <x:c r="O8" s="244"/>
      <x:c r="P8" s="244"/>
      <x:c r="Q8" s="244"/>
      <x:c r="R8" s="244"/>
      <x:c r="S8" s="244"/>
      <x:c r="T8" s="244"/>
      <x:c r="U8" s="261"/>
    </x:row>
    <x:row r="9">
      <x:c r="A9" s="3"/>
      <x:c r="B9" s="262"/>
      <x:c r="C9" s="244"/>
      <x:c r="D9" s="244"/>
      <x:c r="E9" s="244"/>
      <x:c r="F9" s="244"/>
      <x:c r="G9" s="244"/>
      <x:c r="H9" s="244"/>
      <x:c r="I9" s="244"/>
      <x:c r="J9" s="252" t="str">
        <x:v>Total expenses</x:v>
      </x:c>
      <x:c r="K9" s="292" t="n">
        <x:f>SUM(E13:E30)</x:f>
        <x:v>2067</x:v>
      </x:c>
      <x:c r="L9" s="244"/>
      <x:c r="M9" s="244"/>
      <x:c r="N9" s="244"/>
      <x:c r="O9" s="244"/>
      <x:c r="P9" s="244"/>
      <x:c r="Q9" s="244"/>
      <x:c r="R9" s="244"/>
      <x:c r="S9" s="244"/>
      <x:c r="T9" s="244"/>
      <x:c r="U9" s="261"/>
    </x:row>
    <x:row r="10">
      <x:c r="A10" s="3"/>
      <x:c r="B10" s="263" t="str">
        <x:v>Budget vs Actual</x:v>
      </x:c>
      <x:c r="C10" s="248" t="str">
        <x:v>Budget vs Actual</x:v>
      </x:c>
      <x:c r="D10" s="248" t="str">
        <x:v>Budget vs Actual</x:v>
      </x:c>
      <x:c r="E10" s="248" t="str">
        <x:v>Budget vs Actual</x:v>
      </x:c>
      <x:c r="F10" s="248" t="str">
        <x:v>Budget vs Actual</x:v>
      </x:c>
      <x:c r="G10" s="248" t="str">
        <x:v>Budget vs Actual</x:v>
      </x:c>
      <x:c r="H10" s="248" t="str">
        <x:v>Budget vs Actual</x:v>
      </x:c>
      <x:c r="I10" s="244"/>
      <x:c r="J10" s="252" t="str">
        <x:v>True flex cash</x:v>
      </x:c>
      <x:c r="K10" s="292" t="n">
        <x:f>E12-SUM(E13:E30)</x:f>
        <x:v>2783</x:v>
      </x:c>
      <x:c r="L10" s="244"/>
      <x:c r="M10" s="244"/>
      <x:c r="N10" s="244"/>
      <x:c r="O10" s="244"/>
      <x:c r="P10" s="244"/>
      <x:c r="Q10" s="244"/>
      <x:c r="R10" s="244"/>
      <x:c r="S10" s="244"/>
      <x:c r="T10" s="244"/>
      <x:c r="U10" s="261"/>
    </x:row>
    <x:row r="11" ht="31.5" customHeight="1">
      <x:c r="A11" s="3"/>
      <x:c r="B11" s="337" t="str">
        <x:v>Category</x:v>
      </x:c>
      <x:c r="C11" s="338" t="str">
        <x:v>Type</x:v>
      </x:c>
      <x:c r="D11" s="338" t="str">
        <x:v>Budget (auto)</x:v>
      </x:c>
      <x:c r="E11" s="338" t="str">
        <x:v>Actual (auto)</x:v>
      </x:c>
      <x:c r="F11" s="338" t="str">
        <x:v>Difference (auto)</x:v>
      </x:c>
      <x:c r="G11" s="338" t="str">
        <x:v>Signal</x:v>
      </x:c>
      <x:c r="H11" s="338" t="str">
        <x:v>What this means</x:v>
      </x:c>
      <x:c r="I11" s="244"/>
      <x:c r="J11" s="252" t="str">
        <x:v>Money leak risk</x:v>
      </x:c>
      <x:c r="K11" s="292" t="n">
        <x:f>MAX(0,SUM(E13:E30)-E12)</x:f>
        <x:v>0</x:v>
      </x:c>
      <x:c r="L11" s="244"/>
      <x:c r="M11" s="244"/>
      <x:c r="N11" s="244"/>
      <x:c r="O11" s="244"/>
      <x:c r="P11" s="244"/>
      <x:c r="Q11" s="244"/>
      <x:c r="R11" s="244"/>
      <x:c r="S11" s="244"/>
      <x:c r="T11" s="244"/>
      <x:c r="U11" s="261"/>
    </x:row>
    <x:row r="12">
      <x:c r="A12" s="3"/>
      <x:c r="B12" s="293" t="str">
        <x:v>Income</x:v>
      </x:c>
      <x:c r="C12" s="243" t="str">
        <x:v>Income</x:v>
      </x:c>
      <x:c r="D12" s="314" t="n">
        <x:f>SUMIF('Monthly Plan'!B:B,$C$7,'Monthly Plan'!C:C)</x:f>
        <x:v>4850</x:v>
      </x:c>
      <x:c r="E12" s="314" t="n">
        <x:f>SUMIFS('Daily Log'!E:E,'Daily Log'!F:F,"Income",'Daily Log'!B:B,"&gt;="&amp;$C$7,'Daily Log'!B:B,"&lt;="&amp;EOMONTH($C$7,0))</x:f>
        <x:v>4850</x:v>
      </x:c>
      <x:c r="F12" s="314" t="n">
        <x:f>IF(C12="Income",E12-D12,D12-E12)</x:f>
        <x:v>0</x:v>
      </x:c>
      <x:c r="G12" s="315" t="str">
        <x:f>IF(C12="Income",IF(F12&lt;0,"Under plan","On track"),IF(F12&lt;0,"Over budget","OK"))</x:f>
        <x:v>On track</x:v>
      </x:c>
      <x:c r="H12" s="243" t="str">
        <x:v>All paychecks and cash received this month.</x:v>
      </x:c>
      <x:c r="I12" s="244"/>
      <x:c r="J12" s="252" t="str">
        <x:v>Emergency gap</x:v>
      </x:c>
      <x:c r="K12" s="292" t="n">
        <x:f>F32</x:f>
        <x:v>300</x:v>
      </x:c>
      <x:c r="L12" s="244"/>
      <x:c r="M12" s="244"/>
      <x:c r="N12" s="244"/>
      <x:c r="O12" s="244"/>
      <x:c r="P12" s="244"/>
      <x:c r="Q12" s="244"/>
      <x:c r="R12" s="244"/>
      <x:c r="S12" s="244"/>
      <x:c r="T12" s="244"/>
      <x:c r="U12" s="261"/>
    </x:row>
    <x:row r="13">
      <x:c r="A13" s="3"/>
      <x:c r="B13" s="293" t="str">
        <x:v>Housing</x:v>
      </x:c>
      <x:c r="C13" s="243" t="str">
        <x:v>Expense</x:v>
      </x:c>
      <x:c r="D13" s="314" t="n">
        <x:f>SUMIF('Monthly Plan'!B:B,$C$7,'Monthly Plan'!D:D)</x:f>
        <x:v>1850</x:v>
      </x:c>
      <x:c r="E13" s="314" t="n">
        <x:f>SUMIFS('Daily Log'!E:E,'Daily Log'!D:D,B13,'Daily Log'!B:B,"&gt;="&amp;$C$7,'Daily Log'!B:B,"&lt;="&amp;EOMONTH($C$7,0))</x:f>
        <x:v>1850</x:v>
      </x:c>
      <x:c r="F13" s="314" t="n">
        <x:f>IF(C13="Income",E13-D13,D13-E13)</x:f>
        <x:v>0</x:v>
      </x:c>
      <x:c r="G13" s="315" t="str">
        <x:f>IF(C13="Income",IF(F13&lt;0,"Under plan","On track"),IF(F13&lt;0,"Over budget","OK"))</x:f>
        <x:v>OK</x:v>
      </x:c>
      <x:c r="H13" s="243" t="str">
        <x:v>Rent, mortgage, HOA dues, or property fees.</x:v>
      </x:c>
      <x:c r="I13" s="244"/>
      <x:c r="J13" s="252" t="str">
        <x:v>Most over-budget category</x:v>
      </x:c>
      <x:c r="K13" s="252" t="str">
        <x:f>IF(MIN(F13:F30)&lt;0,INDEX(B13:B30,MATCH(MIN(F13:F30),F13:F30,0)),"No over-budget category yet")</x:f>
        <x:v>No over-budget category yet</x:v>
      </x:c>
      <x:c r="L13" s="244"/>
      <x:c r="M13" s="244"/>
      <x:c r="N13" s="244"/>
      <x:c r="O13" s="244"/>
      <x:c r="P13" s="244"/>
      <x:c r="Q13" s="244"/>
      <x:c r="R13" s="244"/>
      <x:c r="S13" s="244"/>
      <x:c r="T13" s="244"/>
      <x:c r="U13" s="261"/>
    </x:row>
    <x:row r="14">
      <x:c r="A14" s="3"/>
      <x:c r="B14" s="293" t="str">
        <x:v>Utilities</x:v>
      </x:c>
      <x:c r="C14" s="243" t="str">
        <x:v>Expense</x:v>
      </x:c>
      <x:c r="D14" s="314" t="n">
        <x:f>SUMIF('Monthly Plan'!B:B,$C$7,'Monthly Plan'!E:E)</x:f>
        <x:v>250</x:v>
      </x:c>
      <x:c r="E14" s="314" t="n">
        <x:f>SUMIFS('Daily Log'!E:E,'Daily Log'!D:D,B14,'Daily Log'!B:B,"&gt;="&amp;$C$7,'Daily Log'!B:B,"&lt;="&amp;EOMONTH($C$7,0))</x:f>
        <x:v>0</x:v>
      </x:c>
      <x:c r="F14" s="314" t="n">
        <x:f>IF(C14="Income",E14-D14,D14-E14)</x:f>
        <x:v>250</x:v>
      </x:c>
      <x:c r="G14" s="315" t="str">
        <x:f>IF(C14="Income",IF(F14&lt;0,"Under plan","On track"),IF(F14&lt;0,"Over budget","OK"))</x:f>
        <x:v>OK</x:v>
      </x:c>
      <x:c r="H14" s="243" t="str">
        <x:v>Electricity, water, gas, trash, and similar household utilities.</x:v>
      </x:c>
      <x:c r="I14" s="244"/>
      <x:c r="J14" s="252" t="str">
        <x:v>Recommended first move</x:v>
      </x:c>
      <x:c r="K14" s="252" t="str">
        <x:f>IF(K11&gt;0,"Cut or reschedule $"&amp;TEXT(K11,"#,##0"),IF(K12&gt;0,"Move $"&amp;TEXT(MIN(K10,K12),"#,##0")&amp;" toward starter emergency fund","Protect this rhythm"))</x:f>
        <x:v>Move $300 toward starter emergency fund</x:v>
      </x:c>
      <x:c r="L14" s="244"/>
      <x:c r="M14" s="244"/>
      <x:c r="N14" s="244"/>
      <x:c r="O14" s="244"/>
      <x:c r="P14" s="244"/>
      <x:c r="Q14" s="244"/>
      <x:c r="R14" s="244"/>
      <x:c r="S14" s="244"/>
      <x:c r="T14" s="244"/>
      <x:c r="U14" s="261"/>
    </x:row>
    <x:row r="15">
      <x:c r="A15" s="3"/>
      <x:c r="B15" s="293" t="str">
        <x:v>Insurance</x:v>
      </x:c>
      <x:c r="C15" s="243" t="str">
        <x:v>Expense</x:v>
      </x:c>
      <x:c r="D15" s="314" t="n">
        <x:f>SUMIF('Monthly Plan'!B:B,$C$7,'Monthly Plan'!F:F)</x:f>
        <x:v>240</x:v>
      </x:c>
      <x:c r="E15" s="314" t="n">
        <x:f>SUMIFS('Daily Log'!E:E,'Daily Log'!D:D,B15,'Daily Log'!B:B,"&gt;="&amp;$C$7,'Daily Log'!B:B,"&lt;="&amp;EOMONTH($C$7,0))</x:f>
        <x:v>0</x:v>
      </x:c>
      <x:c r="F15" s="314" t="n">
        <x:f>IF(C15="Income",E15-D15,D15-E15)</x:f>
        <x:v>240</x:v>
      </x:c>
      <x:c r="G15" s="315" t="str">
        <x:f>IF(C15="Income",IF(F15&lt;0,"Under plan","On track"),IF(F15&lt;0,"Over budget","OK"))</x:f>
        <x:v>OK</x:v>
      </x:c>
      <x:c r="H15" s="243" t="str">
        <x:v>Auto, renters, homeowners, life, or other insurance premiums.</x:v>
      </x:c>
      <x:c r="I15" s="244"/>
      <x:c r="J15" s="244"/>
      <x:c r="K15" s="244"/>
      <x:c r="L15" s="244"/>
      <x:c r="M15" s="244"/>
      <x:c r="N15" s="244"/>
      <x:c r="O15" s="244"/>
      <x:c r="P15" s="244"/>
      <x:c r="Q15" s="244"/>
      <x:c r="R15" s="244"/>
      <x:c r="S15" s="244"/>
      <x:c r="T15" s="244"/>
      <x:c r="U15" s="261"/>
    </x:row>
    <x:row r="16">
      <x:c r="A16" s="3"/>
      <x:c r="B16" s="293" t="str">
        <x:v>Phone &amp; Internet</x:v>
      </x:c>
      <x:c r="C16" s="243" t="str">
        <x:v>Expense</x:v>
      </x:c>
      <x:c r="D16" s="314" t="n">
        <x:f>SUMIF('Monthly Plan'!B:B,$C$7,'Monthly Plan'!G:G)</x:f>
        <x:v>170</x:v>
      </x:c>
      <x:c r="E16" s="314" t="n">
        <x:f>SUMIFS('Daily Log'!E:E,'Daily Log'!D:D,B16,'Daily Log'!B:B,"&gt;="&amp;$C$7,'Daily Log'!B:B,"&lt;="&amp;EOMONTH($C$7,0))</x:f>
        <x:v>0</x:v>
      </x:c>
      <x:c r="F16" s="314" t="n">
        <x:f>IF(C16="Income",E16-D16,D16-E16)</x:f>
        <x:v>170</x:v>
      </x:c>
      <x:c r="G16" s="315" t="str">
        <x:f>IF(C16="Income",IF(F16&lt;0,"Under plan","On track"),IF(F16&lt;0,"Over budget","OK"))</x:f>
        <x:v>OK</x:v>
      </x:c>
      <x:c r="H16" s="243" t="str">
        <x:v>Mobile phone, home internet, and related communication costs.</x:v>
      </x:c>
      <x:c r="I16" s="244"/>
      <x:c r="J16" s="244"/>
      <x:c r="K16" s="244"/>
      <x:c r="L16" s="244"/>
      <x:c r="M16" s="244"/>
      <x:c r="N16" s="244"/>
      <x:c r="O16" s="244"/>
      <x:c r="P16" s="244"/>
      <x:c r="Q16" s="244"/>
      <x:c r="R16" s="244"/>
      <x:c r="S16" s="244"/>
      <x:c r="T16" s="244"/>
      <x:c r="U16" s="261"/>
    </x:row>
    <x:row r="17">
      <x:c r="A17" s="3"/>
      <x:c r="B17" s="293" t="str">
        <x:v>Debt</x:v>
      </x:c>
      <x:c r="C17" s="243" t="str">
        <x:v>Expense</x:v>
      </x:c>
      <x:c r="D17" s="314" t="n">
        <x:f>SUMIF('Monthly Plan'!B:B,$C$7,'Monthly Plan'!H:H)</x:f>
        <x:v>520</x:v>
      </x:c>
      <x:c r="E17" s="314" t="n">
        <x:f>SUMIFS('Daily Log'!E:E,'Daily Log'!D:D,B17,'Daily Log'!B:B,"&gt;="&amp;$C$7,'Daily Log'!B:B,"&lt;="&amp;EOMONTH($C$7,0))</x:f>
        <x:v>0</x:v>
      </x:c>
      <x:c r="F17" s="314" t="n">
        <x:f>IF(C17="Income",E17-D17,D17-E17)</x:f>
        <x:v>520</x:v>
      </x:c>
      <x:c r="G17" s="315" t="str">
        <x:f>IF(C17="Income",IF(F17&lt;0,"Under plan","On track"),IF(F17&lt;0,"Over budget","OK"))</x:f>
        <x:v>OK</x:v>
      </x:c>
      <x:c r="H17" s="243" t="str">
        <x:v>Minimum debt payments. Extra payoff is planned on the debt tab.</x:v>
      </x:c>
      <x:c r="I17" s="244"/>
      <x:c r="J17" s="244"/>
      <x:c r="K17" s="244"/>
      <x:c r="L17" s="244"/>
      <x:c r="M17" s="244"/>
      <x:c r="N17" s="244"/>
      <x:c r="O17" s="244"/>
      <x:c r="P17" s="244"/>
      <x:c r="Q17" s="244"/>
      <x:c r="R17" s="244"/>
      <x:c r="S17" s="244"/>
      <x:c r="T17" s="244"/>
      <x:c r="U17" s="261"/>
    </x:row>
    <x:row r="18">
      <x:c r="A18" s="3"/>
      <x:c r="B18" s="293" t="str">
        <x:v>Subscriptions</x:v>
      </x:c>
      <x:c r="C18" s="243" t="str">
        <x:v>Expense</x:v>
      </x:c>
      <x:c r="D18" s="314" t="n">
        <x:f>SUMIF('Monthly Plan'!B:B,$C$7,'Monthly Plan'!I:I)</x:f>
        <x:v>218</x:v>
      </x:c>
      <x:c r="E18" s="314" t="n">
        <x:f>SUMIFS('Daily Log'!E:E,'Daily Log'!D:D,B18,'Daily Log'!B:B,"&gt;="&amp;$C$7,'Daily Log'!B:B,"&lt;="&amp;EOMONTH($C$7,0))</x:f>
        <x:v>39</x:v>
      </x:c>
      <x:c r="F18" s="314" t="n">
        <x:f>IF(C18="Income",E18-D18,D18-E18)</x:f>
        <x:v>179</x:v>
      </x:c>
      <x:c r="G18" s="315" t="str">
        <x:f>IF(C18="Income",IF(F18&lt;0,"Under plan","On track"),IF(F18&lt;0,"Over budget","OK"))</x:f>
        <x:v>OK</x:v>
      </x:c>
      <x:c r="H18" s="243" t="str">
        <x:v>Recurring apps, software, memberships, and streaming services.</x:v>
      </x:c>
      <x:c r="I18" s="244"/>
      <x:c r="J18" s="244"/>
      <x:c r="K18" s="244"/>
      <x:c r="L18" s="244"/>
      <x:c r="M18" s="244"/>
      <x:c r="N18" s="244"/>
      <x:c r="O18" s="244"/>
      <x:c r="P18" s="244"/>
      <x:c r="Q18" s="244"/>
      <x:c r="R18" s="244"/>
      <x:c r="S18" s="244"/>
      <x:c r="T18" s="244"/>
      <x:c r="U18" s="261"/>
    </x:row>
    <x:row r="19">
      <x:c r="A19" s="3"/>
      <x:c r="B19" s="293" t="str">
        <x:v>Savings Transfers</x:v>
      </x:c>
      <x:c r="C19" s="243" t="str">
        <x:v>Expense</x:v>
      </x:c>
      <x:c r="D19" s="314" t="n">
        <x:f>SUMIF('Monthly Plan'!B:B,$C$7,'Monthly Plan'!J:J)</x:f>
        <x:v>400</x:v>
      </x:c>
      <x:c r="E19" s="314" t="n">
        <x:f>SUMIFS('Daily Log'!E:E,'Daily Log'!D:D,B19,'Daily Log'!B:B,"&gt;="&amp;$C$7,'Daily Log'!B:B,"&lt;="&amp;EOMONTH($C$7,0))</x:f>
        <x:v>0</x:v>
      </x:c>
      <x:c r="F19" s="314" t="n">
        <x:f>IF(C19="Income",E19-D19,D19-E19)</x:f>
        <x:v>400</x:v>
      </x:c>
      <x:c r="G19" s="315" t="str">
        <x:f>IF(C19="Income",IF(F19&lt;0,"Under plan","On track"),IF(F19&lt;0,"Over budget","OK"))</x:f>
        <x:v>OK</x:v>
      </x:c>
      <x:c r="H19" s="243" t="str">
        <x:v>Money moved to emergency savings, sinking funds, or investments.</x:v>
      </x:c>
      <x:c r="I19" s="244"/>
      <x:c r="J19" s="244"/>
      <x:c r="K19" s="244"/>
      <x:c r="L19" s="244"/>
      <x:c r="M19" s="244"/>
      <x:c r="N19" s="244"/>
      <x:c r="O19" s="244"/>
      <x:c r="P19" s="244"/>
      <x:c r="Q19" s="244"/>
      <x:c r="R19" s="244"/>
      <x:c r="S19" s="244"/>
      <x:c r="T19" s="244"/>
      <x:c r="U19" s="261"/>
    </x:row>
    <x:row r="20">
      <x:c r="A20" s="3"/>
      <x:c r="B20" s="293" t="str">
        <x:v>Groceries</x:v>
      </x:c>
      <x:c r="C20" s="243" t="str">
        <x:v>Expense</x:v>
      </x:c>
      <x:c r="D20" s="314" t="n">
        <x:f>SUMIF('Monthly Plan'!B:B,$C$7,'Monthly Plan'!K:K)</x:f>
        <x:v>500</x:v>
      </x:c>
      <x:c r="E20" s="314" t="n">
        <x:f>SUMIFS('Daily Log'!E:E,'Daily Log'!D:D,B20,'Daily Log'!B:B,"&gt;="&amp;$C$7,'Daily Log'!B:B,"&lt;="&amp;EOMONTH($C$7,0))</x:f>
        <x:v>112</x:v>
      </x:c>
      <x:c r="F20" s="314" t="n">
        <x:f>IF(C20="Income",E20-D20,D20-E20)</x:f>
        <x:v>388</x:v>
      </x:c>
      <x:c r="G20" s="315" t="str">
        <x:f>IF(C20="Income",IF(F20&lt;0,"Under plan","On track"),IF(F20&lt;0,"Over budget","OK"))</x:f>
        <x:v>OK</x:v>
      </x:c>
      <x:c r="H20" s="243" t="str">
        <x:v>Food at home and normal household basics.</x:v>
      </x:c>
      <x:c r="I20" s="244"/>
      <x:c r="J20" s="244"/>
      <x:c r="K20" s="244"/>
      <x:c r="L20" s="244"/>
      <x:c r="M20" s="244"/>
      <x:c r="N20" s="244"/>
      <x:c r="O20" s="244"/>
      <x:c r="P20" s="244"/>
      <x:c r="Q20" s="244"/>
      <x:c r="R20" s="244"/>
      <x:c r="S20" s="244"/>
      <x:c r="T20" s="244"/>
      <x:c r="U20" s="261"/>
    </x:row>
    <x:row r="21">
      <x:c r="A21" s="3"/>
      <x:c r="B21" s="293" t="str">
        <x:v>Transportation</x:v>
      </x:c>
      <x:c r="C21" s="243" t="str">
        <x:v>Expense</x:v>
      </x:c>
      <x:c r="D21" s="314" t="n">
        <x:f>SUMIF('Monthly Plan'!B:B,$C$7,'Monthly Plan'!L:L)</x:f>
        <x:v>150</x:v>
      </x:c>
      <x:c r="E21" s="314" t="n">
        <x:f>SUMIFS('Daily Log'!E:E,'Daily Log'!D:D,B21,'Daily Log'!B:B,"&gt;="&amp;$C$7,'Daily Log'!B:B,"&lt;="&amp;EOMONTH($C$7,0))</x:f>
        <x:v>0</x:v>
      </x:c>
      <x:c r="F21" s="314" t="n">
        <x:f>IF(C21="Income",E21-D21,D21-E21)</x:f>
        <x:v>150</x:v>
      </x:c>
      <x:c r="G21" s="315" t="str">
        <x:f>IF(C21="Income",IF(F21&lt;0,"Under plan","On track"),IF(F21&lt;0,"Over budget","OK"))</x:f>
        <x:v>OK</x:v>
      </x:c>
      <x:c r="H21" s="243" t="str">
        <x:v>Gas, parking, rideshare, tolls, transit, and routine vehicle costs.</x:v>
      </x:c>
      <x:c r="I21" s="244"/>
      <x:c r="J21" s="244"/>
      <x:c r="K21" s="244"/>
      <x:c r="L21" s="244"/>
      <x:c r="M21" s="244"/>
      <x:c r="N21" s="244"/>
      <x:c r="O21" s="244"/>
      <x:c r="P21" s="244"/>
      <x:c r="Q21" s="244"/>
      <x:c r="R21" s="244"/>
      <x:c r="S21" s="244"/>
      <x:c r="T21" s="244"/>
      <x:c r="U21" s="261"/>
    </x:row>
    <x:row r="22">
      <x:c r="A22" s="3"/>
      <x:c r="B22" s="293" t="str">
        <x:v>Medical / Health</x:v>
      </x:c>
      <x:c r="C22" s="243" t="str">
        <x:v>Expense</x:v>
      </x:c>
      <x:c r="D22" s="314" t="n">
        <x:f>SUMIF('Monthly Plan'!B:B,$C$7,'Monthly Plan'!M:M)</x:f>
        <x:v>100</x:v>
      </x:c>
      <x:c r="E22" s="314" t="n">
        <x:f>SUMIFS('Daily Log'!E:E,'Daily Log'!D:D,B22,'Daily Log'!B:B,"&gt;="&amp;$C$7,'Daily Log'!B:B,"&lt;="&amp;EOMONTH($C$7,0))</x:f>
        <x:v>0</x:v>
      </x:c>
      <x:c r="F22" s="314" t="n">
        <x:f>IF(C22="Income",E22-D22,D22-E22)</x:f>
        <x:v>100</x:v>
      </x:c>
      <x:c r="G22" s="315" t="str">
        <x:f>IF(C22="Income",IF(F22&lt;0,"Under plan","On track"),IF(F22&lt;0,"Over budget","OK"))</x:f>
        <x:v>OK</x:v>
      </x:c>
      <x:c r="H22" s="243" t="str">
        <x:v>Copays, prescriptions, therapy, dental, vision, and health supplies.</x:v>
      </x:c>
      <x:c r="I22" s="244"/>
      <x:c r="J22" s="244"/>
      <x:c r="K22" s="244"/>
      <x:c r="L22" s="244"/>
      <x:c r="M22" s="244"/>
      <x:c r="N22" s="244"/>
      <x:c r="O22" s="244"/>
      <x:c r="P22" s="244"/>
      <x:c r="Q22" s="244"/>
      <x:c r="R22" s="244"/>
      <x:c r="S22" s="244"/>
      <x:c r="T22" s="244"/>
      <x:c r="U22" s="261"/>
    </x:row>
    <x:row r="23">
      <x:c r="A23" s="3"/>
      <x:c r="B23" s="293" t="str">
        <x:v>Childcare / Family</x:v>
      </x:c>
      <x:c r="C23" s="243" t="str">
        <x:v>Expense</x:v>
      </x:c>
      <x:c r="D23" s="314" t="n">
        <x:f>SUMIF('Monthly Plan'!B:B,$C$7,'Monthly Plan'!N:N)</x:f>
        <x:v>0</x:v>
      </x:c>
      <x:c r="E23" s="314" t="n">
        <x:f>SUMIFS('Daily Log'!E:E,'Daily Log'!D:D,B23,'Daily Log'!B:B,"&gt;="&amp;$C$7,'Daily Log'!B:B,"&lt;="&amp;EOMONTH($C$7,0))</x:f>
        <x:v>0</x:v>
      </x:c>
      <x:c r="F23" s="314" t="n">
        <x:f>IF(C23="Income",E23-D23,D23-E23)</x:f>
        <x:v>0</x:v>
      </x:c>
      <x:c r="G23" s="315" t="str">
        <x:f>IF(C23="Income",IF(F23&lt;0,"Under plan","On track"),IF(F23&lt;0,"Over budget","OK"))</x:f>
        <x:v>OK</x:v>
      </x:c>
      <x:c r="H23" s="243" t="str">
        <x:v>Daycare, babysitting, school costs, child support, or family care.</x:v>
      </x:c>
      <x:c r="I23" s="244"/>
      <x:c r="J23" s="244"/>
      <x:c r="K23" s="244"/>
      <x:c r="L23" s="244"/>
      <x:c r="M23" s="244"/>
      <x:c r="N23" s="244"/>
      <x:c r="O23" s="244"/>
      <x:c r="P23" s="244"/>
      <x:c r="Q23" s="244"/>
      <x:c r="R23" s="244"/>
      <x:c r="S23" s="244"/>
      <x:c r="T23" s="244"/>
      <x:c r="U23" s="261"/>
    </x:row>
    <x:row r="24">
      <x:c r="A24" s="3"/>
      <x:c r="B24" s="293" t="str">
        <x:v>Pets</x:v>
      </x:c>
      <x:c r="C24" s="243" t="str">
        <x:v>Expense</x:v>
      </x:c>
      <x:c r="D24" s="314" t="n">
        <x:f>SUMIF('Monthly Plan'!B:B,$C$7,'Monthly Plan'!O:O)</x:f>
        <x:v>90</x:v>
      </x:c>
      <x:c r="E24" s="314" t="n">
        <x:f>SUMIFS('Daily Log'!E:E,'Daily Log'!D:D,B24,'Daily Log'!B:B,"&gt;="&amp;$C$7,'Daily Log'!B:B,"&lt;="&amp;EOMONTH($C$7,0))</x:f>
        <x:v>48</x:v>
      </x:c>
      <x:c r="F24" s="314" t="n">
        <x:f>IF(C24="Income",E24-D24,D24-E24)</x:f>
        <x:v>42</x:v>
      </x:c>
      <x:c r="G24" s="315" t="str">
        <x:f>IF(C24="Income",IF(F24&lt;0,"Under plan","On track"),IF(F24&lt;0,"Over budget","OK"))</x:f>
        <x:v>OK</x:v>
      </x:c>
      <x:c r="H24" s="243" t="str">
        <x:v>Pet food, supplies, grooming, boarding, and veterinary costs.</x:v>
      </x:c>
      <x:c r="I24" s="244"/>
      <x:c r="J24" s="244"/>
      <x:c r="K24" s="244"/>
      <x:c r="L24" s="244"/>
      <x:c r="M24" s="244"/>
      <x:c r="N24" s="244"/>
      <x:c r="O24" s="244"/>
      <x:c r="P24" s="244"/>
      <x:c r="Q24" s="244"/>
      <x:c r="R24" s="244"/>
      <x:c r="S24" s="244"/>
      <x:c r="T24" s="244"/>
      <x:c r="U24" s="261"/>
    </x:row>
    <x:row r="25">
      <x:c r="A25" s="3"/>
      <x:c r="B25" s="293" t="str">
        <x:v>Food &amp; Dining</x:v>
      </x:c>
      <x:c r="C25" s="243" t="str">
        <x:v>Expense</x:v>
      </x:c>
      <x:c r="D25" s="314" t="n">
        <x:f>SUMIF('Monthly Plan'!B:B,$C$7,'Monthly Plan'!P:P)</x:f>
        <x:v>250</x:v>
      </x:c>
      <x:c r="E25" s="314" t="n">
        <x:f>SUMIFS('Daily Log'!E:E,'Daily Log'!D:D,B25,'Daily Log'!B:B,"&gt;="&amp;$C$7,'Daily Log'!B:B,"&lt;="&amp;EOMONTH($C$7,0))</x:f>
        <x:v>18</x:v>
      </x:c>
      <x:c r="F25" s="314" t="n">
        <x:f>IF(C25="Income",E25-D25,D25-E25)</x:f>
        <x:v>232</x:v>
      </x:c>
      <x:c r="G25" s="315" t="str">
        <x:f>IF(C25="Income",IF(F25&lt;0,"Under plan","On track"),IF(F25&lt;0,"Over budget","OK"))</x:f>
        <x:v>OK</x:v>
      </x:c>
      <x:c r="H25" s="243" t="str">
        <x:v>Restaurants, coffee, airport sandwiches, and convenience meals.</x:v>
      </x:c>
      <x:c r="I25" s="244"/>
      <x:c r="J25" s="244"/>
      <x:c r="K25" s="244"/>
      <x:c r="L25" s="244"/>
      <x:c r="M25" s="244"/>
      <x:c r="N25" s="244"/>
      <x:c r="O25" s="244"/>
      <x:c r="P25" s="244"/>
      <x:c r="Q25" s="244"/>
      <x:c r="R25" s="244"/>
      <x:c r="S25" s="244"/>
      <x:c r="T25" s="244"/>
      <x:c r="U25" s="261"/>
    </x:row>
    <x:row r="26">
      <x:c r="A26" s="3"/>
      <x:c r="B26" s="293" t="str">
        <x:v>Shopping / Personal</x:v>
      </x:c>
      <x:c r="C26" s="243" t="str">
        <x:v>Expense</x:v>
      </x:c>
      <x:c r="D26" s="314" t="n">
        <x:f>SUMIF('Monthly Plan'!B:B,$C$7,'Monthly Plan'!Q:Q)</x:f>
        <x:v>200</x:v>
      </x:c>
      <x:c r="E26" s="314" t="n">
        <x:f>SUMIFS('Daily Log'!E:E,'Daily Log'!D:D,B26,'Daily Log'!B:B,"&gt;="&amp;$C$7,'Daily Log'!B:B,"&lt;="&amp;EOMONTH($C$7,0))</x:f>
        <x:v>0</x:v>
      </x:c>
      <x:c r="F26" s="314" t="n">
        <x:f>IF(C26="Income",E26-D26,D26-E26)</x:f>
        <x:v>200</x:v>
      </x:c>
      <x:c r="G26" s="315" t="str">
        <x:f>IF(C26="Income",IF(F26&lt;0,"Under plan","On track"),IF(F26&lt;0,"Over budget","OK"))</x:f>
        <x:v>OK</x:v>
      </x:c>
      <x:c r="H26" s="243" t="str">
        <x:v>Clothes, personal care, household shopping, and everyday wants.</x:v>
      </x:c>
      <x:c r="I26" s="244"/>
      <x:c r="J26" s="244"/>
      <x:c r="K26" s="244"/>
      <x:c r="L26" s="244"/>
      <x:c r="M26" s="244"/>
      <x:c r="N26" s="244"/>
      <x:c r="O26" s="244"/>
      <x:c r="P26" s="244"/>
      <x:c r="Q26" s="244"/>
      <x:c r="R26" s="244"/>
      <x:c r="S26" s="244"/>
      <x:c r="T26" s="244"/>
      <x:c r="U26" s="261"/>
    </x:row>
    <x:row r="27">
      <x:c r="A27" s="3"/>
      <x:c r="B27" s="293" t="str">
        <x:v>Entertainment</x:v>
      </x:c>
      <x:c r="C27" s="243" t="str">
        <x:v>Expense</x:v>
      </x:c>
      <x:c r="D27" s="314" t="n">
        <x:f>SUMIF('Monthly Plan'!B:B,$C$7,'Monthly Plan'!R:R)</x:f>
        <x:v>100</x:v>
      </x:c>
      <x:c r="E27" s="314" t="n">
        <x:f>SUMIFS('Daily Log'!E:E,'Daily Log'!D:D,B27,'Daily Log'!B:B,"&gt;="&amp;$C$7,'Daily Log'!B:B,"&lt;="&amp;EOMONTH($C$7,0))</x:f>
        <x:v>0</x:v>
      </x:c>
      <x:c r="F27" s="314" t="n">
        <x:f>IF(C27="Income",E27-D27,D27-E27)</x:f>
        <x:v>100</x:v>
      </x:c>
      <x:c r="G27" s="315" t="str">
        <x:f>IF(C27="Income",IF(F27&lt;0,"Under plan","On track"),IF(F27&lt;0,"Over budget","OK"))</x:f>
        <x:v>OK</x:v>
      </x:c>
      <x:c r="H27" s="243" t="str">
        <x:v>Movies, hobbies, games, activities, and local events.</x:v>
      </x:c>
      <x:c r="I27" s="244"/>
      <x:c r="J27" s="244"/>
      <x:c r="K27" s="244"/>
      <x:c r="L27" s="244"/>
      <x:c r="M27" s="244"/>
      <x:c r="N27" s="244"/>
      <x:c r="O27" s="244"/>
      <x:c r="P27" s="244"/>
      <x:c r="Q27" s="244"/>
      <x:c r="R27" s="244"/>
      <x:c r="S27" s="244"/>
      <x:c r="T27" s="244"/>
      <x:c r="U27" s="261"/>
    </x:row>
    <x:row r="28">
      <x:c r="A28" s="3"/>
      <x:c r="B28" s="293" t="str">
        <x:v>Travel</x:v>
      </x:c>
      <x:c r="C28" s="243" t="str">
        <x:v>Expense</x:v>
      </x:c>
      <x:c r="D28" s="314" t="n">
        <x:f>SUMIF('Monthly Plan'!B:B,$C$7,'Monthly Plan'!S:S)</x:f>
        <x:v>125</x:v>
      </x:c>
      <x:c r="E28" s="314" t="n">
        <x:f>SUMIFS('Daily Log'!E:E,'Daily Log'!D:D,B28,'Daily Log'!B:B,"&gt;="&amp;$C$7,'Daily Log'!B:B,"&lt;="&amp;EOMONTH($C$7,0))</x:f>
        <x:v>0</x:v>
      </x:c>
      <x:c r="F28" s="314" t="n">
        <x:f>IF(C28="Income",E28-D28,D28-E28)</x:f>
        <x:v>125</x:v>
      </x:c>
      <x:c r="G28" s="315" t="str">
        <x:f>IF(C28="Income",IF(F28&lt;0,"Under plan","On track"),IF(F28&lt;0,"Over budget","OK"))</x:f>
        <x:v>OK</x:v>
      </x:c>
      <x:c r="H28" s="243" t="str">
        <x:v>Flights, lodging, rental cars, and trip-related spending.</x:v>
      </x:c>
      <x:c r="I28" s="244"/>
      <x:c r="J28" s="244"/>
      <x:c r="K28" s="244"/>
      <x:c r="L28" s="244"/>
      <x:c r="M28" s="244"/>
      <x:c r="N28" s="244"/>
      <x:c r="O28" s="244"/>
      <x:c r="P28" s="244"/>
      <x:c r="Q28" s="244"/>
      <x:c r="R28" s="244"/>
      <x:c r="S28" s="244"/>
      <x:c r="T28" s="244"/>
      <x:c r="U28" s="261"/>
    </x:row>
    <x:row r="29">
      <x:c r="A29" s="3"/>
      <x:c r="B29" s="293" t="str">
        <x:v>Irregular Planned</x:v>
      </x:c>
      <x:c r="C29" s="243" t="str">
        <x:v>Expense</x:v>
      </x:c>
      <x:c r="D29" s="314" t="n">
        <x:f>SUMIF('Monthly Plan'!B:B,$C$7,'Monthly Plan'!T:T)</x:f>
        <x:v>250</x:v>
      </x:c>
      <x:c r="E29" s="314" t="n">
        <x:f>SUMIFS('Daily Log'!E:E,'Daily Log'!D:D,B29,'Daily Log'!B:B,"&gt;="&amp;$C$7,'Daily Log'!B:B,"&lt;="&amp;EOMONTH($C$7,0))</x:f>
        <x:v>0</x:v>
      </x:c>
      <x:c r="F29" s="314" t="n">
        <x:f>IF(C29="Income",E29-D29,D29-E29)</x:f>
        <x:v>250</x:v>
      </x:c>
      <x:c r="G29" s="315" t="str">
        <x:f>IF(C29="Income",IF(F29&lt;0,"Under plan","On track"),IF(F29&lt;0,"Over budget","OK"))</x:f>
        <x:v>OK</x:v>
      </x:c>
      <x:c r="H29" s="243" t="str">
        <x:v>Expected but non-monthly costs such as gifts, annual fees, repairs, and holidays.</x:v>
      </x:c>
      <x:c r="I29" s="244"/>
      <x:c r="J29" s="244"/>
      <x:c r="K29" s="244"/>
      <x:c r="L29" s="244"/>
      <x:c r="M29" s="244"/>
      <x:c r="N29" s="244"/>
      <x:c r="O29" s="244"/>
      <x:c r="P29" s="244"/>
      <x:c r="Q29" s="244"/>
      <x:c r="R29" s="244"/>
      <x:c r="S29" s="244"/>
      <x:c r="T29" s="244"/>
      <x:c r="U29" s="261"/>
    </x:row>
    <x:row r="30">
      <x:c r="A30" s="3"/>
      <x:c r="B30" s="293" t="str">
        <x:v>Miscellaneous</x:v>
      </x:c>
      <x:c r="C30" s="243" t="str">
        <x:v>Expense</x:v>
      </x:c>
      <x:c r="D30" s="314" t="n">
        <x:f>SUMIF('Monthly Plan'!B:B,$C$7,'Monthly Plan'!U:U)</x:f>
        <x:v>50</x:v>
      </x:c>
      <x:c r="E30" s="314" t="n">
        <x:f>SUMIFS('Daily Log'!E:E,'Daily Log'!D:D,B30,'Daily Log'!B:B,"&gt;="&amp;$C$7,'Daily Log'!B:B,"&lt;="&amp;EOMONTH($C$7,0))</x:f>
        <x:v>0</x:v>
      </x:c>
      <x:c r="F30" s="314" t="n">
        <x:f>IF(C30="Income",E30-D30,D30-E30)</x:f>
        <x:v>50</x:v>
      </x:c>
      <x:c r="G30" s="315" t="str">
        <x:f>IF(C30="Income",IF(F30&lt;0,"Under plan","On track"),IF(F30&lt;0,"Over budget","OK"))</x:f>
        <x:v>OK</x:v>
      </x:c>
      <x:c r="H30" s="243" t="str">
        <x:v>Truly uncategorized small spending. Review this bucket if it grows.</x:v>
      </x:c>
      <x:c r="I30" s="244"/>
      <x:c r="J30" s="244"/>
      <x:c r="K30" s="244"/>
      <x:c r="L30" s="244"/>
      <x:c r="M30" s="244"/>
      <x:c r="N30" s="244"/>
      <x:c r="O30" s="244"/>
      <x:c r="P30" s="244"/>
      <x:c r="Q30" s="244"/>
      <x:c r="R30" s="244"/>
      <x:c r="S30" s="244"/>
      <x:c r="T30" s="244"/>
      <x:c r="U30" s="261"/>
    </x:row>
    <x:row r="31">
      <x:c r="A31" s="3"/>
      <x:c r="B31" s="293" t="str">
        <x:v>Current Emergency Savings</x:v>
      </x:c>
      <x:c r="C31" s="243" t="str">
        <x:v>Info</x:v>
      </x:c>
      <x:c r="D31" s="286" t="str"/>
      <x:c r="E31" s="316" t="n">
        <x:v>700</x:v>
      </x:c>
      <x:c r="F31" s="286" t="str"/>
      <x:c r="G31" s="243" t="str">
        <x:v>Manual input</x:v>
      </x:c>
      <x:c r="H31" s="243" t="str">
        <x:v>Enter the cash you currently have set aside for emergencies.</x:v>
      </x:c>
      <x:c r="I31" s="244"/>
      <x:c r="J31" s="244"/>
      <x:c r="K31" s="244"/>
      <x:c r="L31" s="244"/>
      <x:c r="M31" s="244"/>
      <x:c r="N31" s="244"/>
      <x:c r="O31" s="244"/>
      <x:c r="P31" s="244"/>
      <x:c r="Q31" s="244"/>
      <x:c r="R31" s="244"/>
      <x:c r="S31" s="244"/>
      <x:c r="T31" s="244"/>
      <x:c r="U31" s="261"/>
    </x:row>
    <x:row r="32">
      <x:c r="A32" s="3"/>
      <x:c r="B32" s="293" t="str">
        <x:v>Starter Emergency Target</x:v>
      </x:c>
      <x:c r="C32" s="243" t="str">
        <x:v>Info</x:v>
      </x:c>
      <x:c r="D32" s="286" t="str"/>
      <x:c r="E32" s="316" t="n">
        <x:v>1000</x:v>
      </x:c>
      <x:c r="F32" s="286" t="n">
        <x:f>MAX(0,E32-E31)</x:f>
        <x:v>300</x:v>
      </x:c>
      <x:c r="G32" s="243" t="str">
        <x:f>IF(F32&gt;0,"Gap remains","Funded")</x:f>
        <x:v>Gap remains</x:v>
      </x:c>
      <x:c r="H32" s="243" t="str">
        <x:v>A simple first milestone before getting aggressive elsewhere.</x:v>
      </x:c>
      <x:c r="I32" s="244"/>
      <x:c r="J32" s="244"/>
      <x:c r="K32" s="244"/>
      <x:c r="L32" s="244"/>
      <x:c r="M32" s="244"/>
      <x:c r="N32" s="244"/>
      <x:c r="O32" s="244"/>
      <x:c r="P32" s="244"/>
      <x:c r="Q32" s="244"/>
      <x:c r="R32" s="244"/>
      <x:c r="S32" s="244"/>
      <x:c r="T32" s="244"/>
      <x:c r="U32" s="261"/>
    </x:row>
    <x:row r="33">
      <x:c r="A33" s="3"/>
      <x:c r="B33" s="262"/>
      <x:c r="C33" s="244"/>
      <x:c r="D33" s="244"/>
      <x:c r="E33" s="244"/>
      <x:c r="F33" s="244"/>
      <x:c r="G33" s="244"/>
      <x:c r="H33" s="244"/>
      <x:c r="I33" s="244"/>
      <x:c r="J33" s="244"/>
      <x:c r="K33" s="244"/>
      <x:c r="L33" s="244"/>
      <x:c r="M33" s="244"/>
      <x:c r="N33" s="244"/>
      <x:c r="O33" s="244"/>
      <x:c r="P33" s="244"/>
      <x:c r="Q33" s="244"/>
      <x:c r="R33" s="244"/>
      <x:c r="S33" s="244"/>
      <x:c r="T33" s="244"/>
      <x:c r="U33" s="261"/>
    </x:row>
    <x:row r="34">
      <x:c r="A34" s="3"/>
      <x:c r="B34" s="262"/>
      <x:c r="C34" s="244"/>
      <x:c r="D34" s="244"/>
      <x:c r="E34" s="244"/>
      <x:c r="F34" s="244"/>
      <x:c r="G34" s="244"/>
      <x:c r="H34" s="244"/>
      <x:c r="I34" s="244"/>
      <x:c r="J34" s="244"/>
      <x:c r="K34" s="244"/>
      <x:c r="L34" s="244"/>
      <x:c r="M34" s="244"/>
      <x:c r="N34" s="244"/>
      <x:c r="O34" s="244"/>
      <x:c r="P34" s="244"/>
      <x:c r="Q34" s="244"/>
      <x:c r="R34" s="244"/>
      <x:c r="S34" s="244"/>
      <x:c r="T34" s="244"/>
      <x:c r="U34" s="261"/>
    </x:row>
    <x:row r="35">
      <x:c r="A35" s="3"/>
      <x:c r="B35" s="263" t="str">
        <x:v>Where to enter information</x:v>
      </x:c>
      <x:c r="C35" s="248" t="str">
        <x:v>Where to enter information</x:v>
      </x:c>
      <x:c r="D35" s="248" t="str">
        <x:v>Where to enter information</x:v>
      </x:c>
      <x:c r="E35" s="248" t="str">
        <x:v>Where to enter information</x:v>
      </x:c>
      <x:c r="F35" s="248" t="str">
        <x:v>Where to enter information</x:v>
      </x:c>
      <x:c r="G35" s="248" t="str">
        <x:v>Where to enter information</x:v>
      </x:c>
      <x:c r="H35" s="248" t="str">
        <x:v>Where to enter information</x:v>
      </x:c>
      <x:c r="I35" s="244"/>
      <x:c r="J35" s="244"/>
      <x:c r="K35" s="244"/>
      <x:c r="L35" s="244"/>
      <x:c r="M35" s="244"/>
      <x:c r="N35" s="244"/>
      <x:c r="O35" s="244"/>
      <x:c r="P35" s="244"/>
      <x:c r="Q35" s="244"/>
      <x:c r="R35" s="244"/>
      <x:c r="S35" s="244"/>
      <x:c r="T35" s="244"/>
      <x:c r="U35" s="261"/>
    </x:row>
    <x:row r="36">
      <x:c r="A36" s="3"/>
      <x:c r="B36" s="310" t="str">
        <x:v>BLUE CELL C7: choose the month you want to review.</x:v>
      </x:c>
      <x:c r="C36" s="250" t="str"/>
      <x:c r="D36" s="250" t="str"/>
      <x:c r="E36" s="250" t="str"/>
      <x:c r="F36" s="250" t="str"/>
      <x:c r="G36" s="250" t="str"/>
      <x:c r="H36" s="250" t="str"/>
      <x:c r="I36" s="244"/>
      <x:c r="J36" s="244"/>
      <x:c r="K36" s="244"/>
      <x:c r="L36" s="244"/>
      <x:c r="M36" s="244"/>
      <x:c r="N36" s="244"/>
      <x:c r="O36" s="244"/>
      <x:c r="P36" s="244"/>
      <x:c r="Q36" s="244"/>
      <x:c r="R36" s="244"/>
      <x:c r="S36" s="244"/>
      <x:c r="T36" s="244"/>
      <x:c r="U36" s="261"/>
    </x:row>
    <x:row r="37">
      <x:c r="A37" s="3"/>
      <x:c r="B37" s="310" t="str">
        <x:v>Budget (auto): comes from Monthly Plan. Do not type a budget into this table.</x:v>
      </x:c>
      <x:c r="C37" s="250" t="str"/>
      <x:c r="D37" s="250" t="str"/>
      <x:c r="E37" s="250" t="str"/>
      <x:c r="F37" s="250" t="str"/>
      <x:c r="G37" s="250" t="str"/>
      <x:c r="H37" s="250" t="str"/>
      <x:c r="I37" s="244"/>
      <x:c r="J37" s="244"/>
      <x:c r="K37" s="244"/>
      <x:c r="L37" s="244"/>
      <x:c r="M37" s="244"/>
      <x:c r="N37" s="244"/>
      <x:c r="O37" s="244"/>
      <x:c r="P37" s="244"/>
      <x:c r="Q37" s="244"/>
      <x:c r="R37" s="244"/>
      <x:c r="S37" s="244"/>
      <x:c r="T37" s="244"/>
      <x:c r="U37" s="261"/>
    </x:row>
    <x:row r="38">
      <x:c r="A38" s="3"/>
      <x:c r="B38" s="310" t="str">
        <x:v>Actual (auto): comes from Daily Log. Enter purchases and paychecks there, not here.</x:v>
      </x:c>
      <x:c r="C38" s="250" t="str"/>
      <x:c r="D38" s="250" t="str"/>
      <x:c r="E38" s="250" t="str"/>
      <x:c r="F38" s="250" t="str"/>
      <x:c r="G38" s="250" t="str"/>
      <x:c r="H38" s="250" t="str"/>
      <x:c r="I38" s="244"/>
      <x:c r="J38" s="244"/>
      <x:c r="K38" s="244"/>
      <x:c r="L38" s="244"/>
      <x:c r="M38" s="244"/>
      <x:c r="N38" s="244"/>
      <x:c r="O38" s="244"/>
      <x:c r="P38" s="244"/>
      <x:c r="Q38" s="244"/>
      <x:c r="R38" s="244"/>
      <x:c r="S38" s="244"/>
      <x:c r="T38" s="244"/>
      <x:c r="U38" s="261"/>
    </x:row>
    <x:row r="39">
      <x:c r="A39" s="3"/>
      <x:c r="B39" s="310" t="str">
        <x:v>BLUE CELLS E31:E32: enter your current emergency savings and target. These are balances, so they are manual.</x:v>
      </x:c>
      <x:c r="C39" s="250" t="str"/>
      <x:c r="D39" s="250" t="str"/>
      <x:c r="E39" s="250" t="str"/>
      <x:c r="F39" s="250" t="str"/>
      <x:c r="G39" s="250" t="str"/>
      <x:c r="H39" s="250" t="str"/>
      <x:c r="I39" s="244"/>
      <x:c r="J39" s="244"/>
      <x:c r="K39" s="244"/>
      <x:c r="L39" s="244"/>
      <x:c r="M39" s="244"/>
      <x:c r="N39" s="244"/>
      <x:c r="O39" s="244"/>
      <x:c r="P39" s="244"/>
      <x:c r="Q39" s="244"/>
      <x:c r="R39" s="244"/>
      <x:c r="S39" s="244"/>
      <x:c r="T39" s="244"/>
      <x:c r="U39" s="261"/>
    </x:row>
    <x:row r="40">
      <x:c r="A40" s="3"/>
      <x:c r="B40" s="262"/>
      <x:c r="C40" s="244"/>
      <x:c r="D40" s="244"/>
      <x:c r="E40" s="244"/>
      <x:c r="F40" s="244"/>
      <x:c r="G40" s="244"/>
      <x:c r="H40" s="244"/>
      <x:c r="I40" s="244"/>
      <x:c r="J40" s="244"/>
      <x:c r="K40" s="244"/>
      <x:c r="L40" s="244"/>
      <x:c r="M40" s="244"/>
      <x:c r="N40" s="244"/>
      <x:c r="O40" s="244"/>
      <x:c r="P40" s="244"/>
      <x:c r="Q40" s="244"/>
      <x:c r="R40" s="244"/>
      <x:c r="S40" s="244"/>
      <x:c r="T40" s="244"/>
      <x:c r="U40" s="261"/>
    </x:row>
    <x:row r="41">
      <x:c r="A41" s="3"/>
      <x:c r="B41" s="262"/>
      <x:c r="C41" s="244"/>
      <x:c r="D41" s="244"/>
      <x:c r="E41" s="244"/>
      <x:c r="F41" s="244"/>
      <x:c r="G41" s="244"/>
      <x:c r="H41" s="244"/>
      <x:c r="I41" s="244"/>
      <x:c r="J41" s="244"/>
      <x:c r="K41" s="244"/>
      <x:c r="L41" s="244"/>
      <x:c r="M41" s="244"/>
      <x:c r="N41" s="244"/>
      <x:c r="O41" s="244"/>
      <x:c r="P41" s="244"/>
      <x:c r="Q41" s="244"/>
      <x:c r="R41" s="244"/>
      <x:c r="S41" s="244"/>
      <x:c r="T41" s="244"/>
      <x:c r="U41" s="261"/>
    </x:row>
    <x:row r="42">
      <x:c r="A42" s="3"/>
      <x:c r="B42" s="262"/>
      <x:c r="C42" s="244"/>
      <x:c r="D42" s="244"/>
      <x:c r="E42" s="244"/>
      <x:c r="F42" s="244"/>
      <x:c r="G42" s="244"/>
      <x:c r="H42" s="244"/>
      <x:c r="I42" s="244"/>
      <x:c r="J42" s="244"/>
      <x:c r="K42" s="244"/>
      <x:c r="L42" s="244"/>
      <x:c r="M42" s="244"/>
      <x:c r="N42" s="244"/>
      <x:c r="O42" s="244"/>
      <x:c r="P42" s="244"/>
      <x:c r="Q42" s="244"/>
      <x:c r="R42" s="244"/>
      <x:c r="S42" s="244"/>
      <x:c r="T42" s="244"/>
      <x:c r="U42" s="261"/>
    </x:row>
    <x:row r="43">
      <x:c r="A43" s="3"/>
      <x:c r="B43" s="262"/>
      <x:c r="C43" s="244"/>
      <x:c r="D43" s="244"/>
      <x:c r="E43" s="244"/>
      <x:c r="F43" s="244"/>
      <x:c r="G43" s="244"/>
      <x:c r="H43" s="244"/>
      <x:c r="I43" s="244"/>
      <x:c r="J43" s="244"/>
      <x:c r="K43" s="244"/>
      <x:c r="L43" s="244"/>
      <x:c r="M43" s="244"/>
      <x:c r="N43" s="244"/>
      <x:c r="O43" s="244"/>
      <x:c r="P43" s="244"/>
      <x:c r="Q43" s="244"/>
      <x:c r="R43" s="244"/>
      <x:c r="S43" s="244"/>
      <x:c r="T43" s="244"/>
      <x:c r="U43" s="261"/>
    </x:row>
    <x:row r="44">
      <x:c r="A44" s="3"/>
      <x:c r="B44" s="262"/>
      <x:c r="C44" s="244"/>
      <x:c r="D44" s="244"/>
      <x:c r="E44" s="244"/>
      <x:c r="F44" s="244"/>
      <x:c r="G44" s="244"/>
      <x:c r="H44" s="244"/>
      <x:c r="I44" s="244"/>
      <x:c r="J44" s="244"/>
      <x:c r="K44" s="244"/>
      <x:c r="L44" s="244"/>
      <x:c r="M44" s="244"/>
      <x:c r="N44" s="244"/>
      <x:c r="O44" s="244"/>
      <x:c r="P44" s="244"/>
      <x:c r="Q44" s="244"/>
      <x:c r="R44" s="244"/>
      <x:c r="S44" s="244"/>
      <x:c r="T44" s="244"/>
      <x:c r="U44" s="261"/>
    </x:row>
    <x:row r="45">
      <x:c r="A45" s="3"/>
      <x:c r="B45" s="262"/>
      <x:c r="C45" s="244"/>
      <x:c r="D45" s="244"/>
      <x:c r="E45" s="244"/>
      <x:c r="F45" s="244"/>
      <x:c r="G45" s="244"/>
      <x:c r="H45" s="244"/>
      <x:c r="I45" s="244"/>
      <x:c r="J45" s="244"/>
      <x:c r="K45" s="244"/>
      <x:c r="L45" s="244"/>
      <x:c r="M45" s="244"/>
      <x:c r="N45" s="244"/>
      <x:c r="O45" s="244"/>
      <x:c r="P45" s="244"/>
      <x:c r="Q45" s="244"/>
      <x:c r="R45" s="244"/>
      <x:c r="S45" s="244"/>
      <x:c r="T45" s="244"/>
      <x:c r="U45" s="261"/>
    </x:row>
    <x:row r="46">
      <x:c r="A46" s="3"/>
      <x:c r="B46" s="262"/>
      <x:c r="C46" s="244"/>
      <x:c r="D46" s="244"/>
      <x:c r="E46" s="244"/>
      <x:c r="F46" s="244"/>
      <x:c r="G46" s="244"/>
      <x:c r="H46" s="244"/>
      <x:c r="I46" s="244"/>
      <x:c r="J46" s="244"/>
      <x:c r="K46" s="244"/>
      <x:c r="L46" s="244"/>
      <x:c r="M46" s="244"/>
      <x:c r="N46" s="244"/>
      <x:c r="O46" s="244"/>
      <x:c r="P46" s="244"/>
      <x:c r="Q46" s="244"/>
      <x:c r="R46" s="244"/>
      <x:c r="S46" s="244"/>
      <x:c r="T46" s="244"/>
      <x:c r="U46" s="261"/>
    </x:row>
    <x:row r="47">
      <x:c r="A47" s="3"/>
      <x:c r="B47" s="262"/>
      <x:c r="C47" s="244"/>
      <x:c r="D47" s="244"/>
      <x:c r="E47" s="244"/>
      <x:c r="F47" s="244"/>
      <x:c r="G47" s="244"/>
      <x:c r="H47" s="244"/>
      <x:c r="I47" s="244"/>
      <x:c r="J47" s="244"/>
      <x:c r="K47" s="244"/>
      <x:c r="L47" s="244"/>
      <x:c r="M47" s="244"/>
      <x:c r="N47" s="244"/>
      <x:c r="O47" s="244"/>
      <x:c r="P47" s="244"/>
      <x:c r="Q47" s="244"/>
      <x:c r="R47" s="244"/>
      <x:c r="S47" s="244"/>
      <x:c r="T47" s="244"/>
      <x:c r="U47" s="261"/>
    </x:row>
    <x:row r="48">
      <x:c r="A48" s="3"/>
      <x:c r="B48" s="262"/>
      <x:c r="C48" s="244"/>
      <x:c r="D48" s="244"/>
      <x:c r="E48" s="244"/>
      <x:c r="F48" s="244"/>
      <x:c r="G48" s="244"/>
      <x:c r="H48" s="244"/>
      <x:c r="I48" s="244"/>
      <x:c r="J48" s="244"/>
      <x:c r="K48" s="244"/>
      <x:c r="L48" s="244"/>
      <x:c r="M48" s="244"/>
      <x:c r="N48" s="244"/>
      <x:c r="O48" s="244"/>
      <x:c r="P48" s="244"/>
      <x:c r="Q48" s="244"/>
      <x:c r="R48" s="244"/>
      <x:c r="S48" s="244"/>
      <x:c r="T48" s="244"/>
      <x:c r="U48" s="261"/>
    </x:row>
    <x:row r="49">
      <x:c r="A49" s="3"/>
      <x:c r="B49" s="262"/>
      <x:c r="C49" s="244"/>
      <x:c r="D49" s="244"/>
      <x:c r="E49" s="244"/>
      <x:c r="F49" s="244"/>
      <x:c r="G49" s="244"/>
      <x:c r="H49" s="244"/>
      <x:c r="I49" s="244"/>
      <x:c r="J49" s="244"/>
      <x:c r="K49" s="244"/>
      <x:c r="L49" s="244"/>
      <x:c r="M49" s="244"/>
      <x:c r="N49" s="244"/>
      <x:c r="O49" s="244"/>
      <x:c r="P49" s="244"/>
      <x:c r="Q49" s="244"/>
      <x:c r="R49" s="244"/>
      <x:c r="S49" s="244"/>
      <x:c r="T49" s="244"/>
      <x:c r="U49" s="261"/>
    </x:row>
    <x:row r="50">
      <x:c r="A50" s="3"/>
      <x:c r="B50" s="262"/>
      <x:c r="C50" s="244"/>
      <x:c r="D50" s="244"/>
      <x:c r="E50" s="244"/>
      <x:c r="F50" s="244"/>
      <x:c r="G50" s="244"/>
      <x:c r="H50" s="244"/>
      <x:c r="I50" s="244"/>
      <x:c r="J50" s="244"/>
      <x:c r="K50" s="244"/>
      <x:c r="L50" s="244"/>
      <x:c r="M50" s="244"/>
      <x:c r="N50" s="244"/>
      <x:c r="O50" s="244"/>
      <x:c r="P50" s="244"/>
      <x:c r="Q50" s="244"/>
      <x:c r="R50" s="244"/>
      <x:c r="S50" s="244"/>
      <x:c r="T50" s="244"/>
      <x:c r="U50" s="261"/>
    </x:row>
    <x:row r="51">
      <x:c r="A51" s="3"/>
      <x:c r="B51" s="262"/>
      <x:c r="C51" s="244"/>
      <x:c r="D51" s="244"/>
      <x:c r="E51" s="244"/>
      <x:c r="F51" s="244"/>
      <x:c r="G51" s="244"/>
      <x:c r="H51" s="244"/>
      <x:c r="I51" s="244"/>
      <x:c r="J51" s="244"/>
      <x:c r="K51" s="244"/>
      <x:c r="L51" s="244"/>
      <x:c r="M51" s="244"/>
      <x:c r="N51" s="244"/>
      <x:c r="O51" s="244"/>
      <x:c r="P51" s="244"/>
      <x:c r="Q51" s="244"/>
      <x:c r="R51" s="244"/>
      <x:c r="S51" s="244"/>
      <x:c r="T51" s="244"/>
      <x:c r="U51" s="261"/>
    </x:row>
    <x:row r="52">
      <x:c r="A52" s="3"/>
      <x:c r="B52" s="262"/>
      <x:c r="C52" s="244"/>
      <x:c r="D52" s="244"/>
      <x:c r="E52" s="244"/>
      <x:c r="F52" s="244"/>
      <x:c r="G52" s="244"/>
      <x:c r="H52" s="244"/>
      <x:c r="I52" s="244"/>
      <x:c r="J52" s="244"/>
      <x:c r="K52" s="244"/>
      <x:c r="L52" s="244"/>
      <x:c r="M52" s="244"/>
      <x:c r="N52" s="244"/>
      <x:c r="O52" s="244"/>
      <x:c r="P52" s="244"/>
      <x:c r="Q52" s="244"/>
      <x:c r="R52" s="244"/>
      <x:c r="S52" s="244"/>
      <x:c r="T52" s="244"/>
      <x:c r="U52" s="261"/>
    </x:row>
    <x:row r="53">
      <x:c r="A53" s="3"/>
      <x:c r="B53" s="262"/>
      <x:c r="C53" s="244"/>
      <x:c r="D53" s="244"/>
      <x:c r="E53" s="244"/>
      <x:c r="F53" s="244"/>
      <x:c r="G53" s="244"/>
      <x:c r="H53" s="244"/>
      <x:c r="I53" s="244"/>
      <x:c r="J53" s="244"/>
      <x:c r="K53" s="244"/>
      <x:c r="L53" s="244"/>
      <x:c r="M53" s="244"/>
      <x:c r="N53" s="244"/>
      <x:c r="O53" s="244"/>
      <x:c r="P53" s="244"/>
      <x:c r="Q53" s="244"/>
      <x:c r="R53" s="244"/>
      <x:c r="S53" s="244"/>
      <x:c r="T53" s="244"/>
      <x:c r="U53" s="261"/>
    </x:row>
    <x:row r="54">
      <x:c r="A54" s="3"/>
      <x:c r="B54" s="262"/>
      <x:c r="C54" s="244"/>
      <x:c r="D54" s="244"/>
      <x:c r="E54" s="244"/>
      <x:c r="F54" s="244"/>
      <x:c r="G54" s="244"/>
      <x:c r="H54" s="244"/>
      <x:c r="I54" s="244"/>
      <x:c r="J54" s="244"/>
      <x:c r="K54" s="244"/>
      <x:c r="L54" s="244"/>
      <x:c r="M54" s="244"/>
      <x:c r="N54" s="244"/>
      <x:c r="O54" s="244"/>
      <x:c r="P54" s="244"/>
      <x:c r="Q54" s="244"/>
      <x:c r="R54" s="244"/>
      <x:c r="S54" s="244"/>
      <x:c r="T54" s="244"/>
      <x:c r="U54" s="261"/>
    </x:row>
    <x:row r="55">
      <x:c r="A55" s="3"/>
      <x:c r="B55" s="262"/>
      <x:c r="C55" s="244"/>
      <x:c r="D55" s="244"/>
      <x:c r="E55" s="244"/>
      <x:c r="F55" s="244"/>
      <x:c r="G55" s="244"/>
      <x:c r="H55" s="244"/>
      <x:c r="I55" s="244"/>
      <x:c r="J55" s="244"/>
      <x:c r="K55" s="244"/>
      <x:c r="L55" s="244"/>
      <x:c r="M55" s="244"/>
      <x:c r="N55" s="244"/>
      <x:c r="O55" s="244"/>
      <x:c r="P55" s="244"/>
      <x:c r="Q55" s="244"/>
      <x:c r="R55" s="244"/>
      <x:c r="S55" s="244"/>
      <x:c r="T55" s="244"/>
      <x:c r="U55" s="261"/>
    </x:row>
    <x:row r="56">
      <x:c r="A56" s="3"/>
      <x:c r="B56" s="262"/>
      <x:c r="C56" s="244"/>
      <x:c r="D56" s="244"/>
      <x:c r="E56" s="244"/>
      <x:c r="F56" s="244"/>
      <x:c r="G56" s="244"/>
      <x:c r="H56" s="244"/>
      <x:c r="I56" s="244"/>
      <x:c r="J56" s="244"/>
      <x:c r="K56" s="244"/>
      <x:c r="L56" s="244"/>
      <x:c r="M56" s="244"/>
      <x:c r="N56" s="244"/>
      <x:c r="O56" s="244"/>
      <x:c r="P56" s="244"/>
      <x:c r="Q56" s="244"/>
      <x:c r="R56" s="244"/>
      <x:c r="S56" s="244"/>
      <x:c r="T56" s="244"/>
      <x:c r="U56" s="261"/>
    </x:row>
    <x:row r="57">
      <x:c r="A57" s="3"/>
      <x:c r="B57" s="262"/>
      <x:c r="C57" s="244"/>
      <x:c r="D57" s="244"/>
      <x:c r="E57" s="244"/>
      <x:c r="F57" s="244"/>
      <x:c r="G57" s="244"/>
      <x:c r="H57" s="244"/>
      <x:c r="I57" s="244"/>
      <x:c r="J57" s="244"/>
      <x:c r="K57" s="244"/>
      <x:c r="L57" s="244"/>
      <x:c r="M57" s="244"/>
      <x:c r="N57" s="244"/>
      <x:c r="O57" s="244"/>
      <x:c r="P57" s="244"/>
      <x:c r="Q57" s="244"/>
      <x:c r="R57" s="244"/>
      <x:c r="S57" s="244"/>
      <x:c r="T57" s="244"/>
      <x:c r="U57" s="261"/>
    </x:row>
    <x:row r="58">
      <x:c r="A58" s="3"/>
      <x:c r="B58" s="262"/>
      <x:c r="C58" s="244"/>
      <x:c r="D58" s="244"/>
      <x:c r="E58" s="244"/>
      <x:c r="F58" s="244"/>
      <x:c r="G58" s="244"/>
      <x:c r="H58" s="244"/>
      <x:c r="I58" s="244"/>
      <x:c r="J58" s="244"/>
      <x:c r="K58" s="244"/>
      <x:c r="L58" s="244"/>
      <x:c r="M58" s="244"/>
      <x:c r="N58" s="244"/>
      <x:c r="O58" s="244"/>
      <x:c r="P58" s="244"/>
      <x:c r="Q58" s="244"/>
      <x:c r="R58" s="244"/>
      <x:c r="S58" s="244"/>
      <x:c r="T58" s="244"/>
      <x:c r="U58" s="261"/>
    </x:row>
    <x:row r="59">
      <x:c r="A59" s="3"/>
      <x:c r="B59" s="262"/>
      <x:c r="C59" s="244"/>
      <x:c r="D59" s="244"/>
      <x:c r="E59" s="244"/>
      <x:c r="F59" s="244"/>
      <x:c r="G59" s="244"/>
      <x:c r="H59" s="244"/>
      <x:c r="I59" s="244"/>
      <x:c r="J59" s="244"/>
      <x:c r="K59" s="244"/>
      <x:c r="L59" s="244"/>
      <x:c r="M59" s="244"/>
      <x:c r="N59" s="244"/>
      <x:c r="O59" s="244"/>
      <x:c r="P59" s="244"/>
      <x:c r="Q59" s="244"/>
      <x:c r="R59" s="244"/>
      <x:c r="S59" s="244"/>
      <x:c r="T59" s="244"/>
      <x:c r="U59" s="261"/>
    </x:row>
    <x:row r="60">
      <x:c r="A60" s="3"/>
      <x:c r="B60" s="262"/>
      <x:c r="C60" s="244"/>
      <x:c r="D60" s="244"/>
      <x:c r="E60" s="244"/>
      <x:c r="F60" s="244"/>
      <x:c r="G60" s="244"/>
      <x:c r="H60" s="244"/>
      <x:c r="I60" s="244"/>
      <x:c r="J60" s="244"/>
      <x:c r="K60" s="244"/>
      <x:c r="L60" s="244"/>
      <x:c r="M60" s="244"/>
      <x:c r="N60" s="244"/>
      <x:c r="O60" s="244"/>
      <x:c r="P60" s="244"/>
      <x:c r="Q60" s="244"/>
      <x:c r="R60" s="244"/>
      <x:c r="S60" s="244"/>
      <x:c r="T60" s="244"/>
      <x:c r="U60" s="261"/>
    </x:row>
    <x:row r="61">
      <x:c r="A61" s="3"/>
      <x:c r="B61" s="262"/>
      <x:c r="C61" s="244"/>
      <x:c r="D61" s="244"/>
      <x:c r="E61" s="244"/>
      <x:c r="F61" s="244"/>
      <x:c r="G61" s="244"/>
      <x:c r="H61" s="244"/>
      <x:c r="I61" s="244"/>
      <x:c r="J61" s="244"/>
      <x:c r="K61" s="244"/>
      <x:c r="L61" s="244"/>
      <x:c r="M61" s="244"/>
      <x:c r="N61" s="244"/>
      <x:c r="O61" s="244"/>
      <x:c r="P61" s="244"/>
      <x:c r="Q61" s="244"/>
      <x:c r="R61" s="244"/>
      <x:c r="S61" s="244"/>
      <x:c r="T61" s="244"/>
      <x:c r="U61" s="261"/>
    </x:row>
    <x:row r="62">
      <x:c r="A62" s="3"/>
      <x:c r="B62" s="262"/>
      <x:c r="C62" s="244"/>
      <x:c r="D62" s="244"/>
      <x:c r="E62" s="244"/>
      <x:c r="F62" s="244"/>
      <x:c r="G62" s="244"/>
      <x:c r="H62" s="244"/>
      <x:c r="I62" s="244"/>
      <x:c r="J62" s="244"/>
      <x:c r="K62" s="244"/>
      <x:c r="L62" s="244"/>
      <x:c r="M62" s="244"/>
      <x:c r="N62" s="244"/>
      <x:c r="O62" s="244"/>
      <x:c r="P62" s="244"/>
      <x:c r="Q62" s="244"/>
      <x:c r="R62" s="244"/>
      <x:c r="S62" s="244"/>
      <x:c r="T62" s="244"/>
      <x:c r="U62" s="261"/>
    </x:row>
    <x:row r="63">
      <x:c r="A63" s="3"/>
      <x:c r="B63" s="262"/>
      <x:c r="C63" s="244"/>
      <x:c r="D63" s="244"/>
      <x:c r="E63" s="244"/>
      <x:c r="F63" s="244"/>
      <x:c r="G63" s="244"/>
      <x:c r="H63" s="244"/>
      <x:c r="I63" s="244"/>
      <x:c r="J63" s="244"/>
      <x:c r="K63" s="244"/>
      <x:c r="L63" s="244"/>
      <x:c r="M63" s="244"/>
      <x:c r="N63" s="244"/>
      <x:c r="O63" s="244"/>
      <x:c r="P63" s="244"/>
      <x:c r="Q63" s="244"/>
      <x:c r="R63" s="244"/>
      <x:c r="S63" s="244"/>
      <x:c r="T63" s="244"/>
      <x:c r="U63" s="261"/>
    </x:row>
    <x:row r="64">
      <x:c r="A64" s="3"/>
      <x:c r="B64" s="262"/>
      <x:c r="C64" s="244"/>
      <x:c r="D64" s="244"/>
      <x:c r="E64" s="244"/>
      <x:c r="F64" s="244"/>
      <x:c r="G64" s="244"/>
      <x:c r="H64" s="244"/>
      <x:c r="I64" s="244"/>
      <x:c r="J64" s="244"/>
      <x:c r="K64" s="244"/>
      <x:c r="L64" s="244"/>
      <x:c r="M64" s="244"/>
      <x:c r="N64" s="244"/>
      <x:c r="O64" s="244"/>
      <x:c r="P64" s="244"/>
      <x:c r="Q64" s="244"/>
      <x:c r="R64" s="244"/>
      <x:c r="S64" s="244"/>
      <x:c r="T64" s="244"/>
      <x:c r="U64" s="261"/>
    </x:row>
    <x:row r="65">
      <x:c r="A65" s="3"/>
      <x:c r="B65" s="262"/>
      <x:c r="C65" s="244"/>
      <x:c r="D65" s="244"/>
      <x:c r="E65" s="244"/>
      <x:c r="F65" s="244"/>
      <x:c r="G65" s="244"/>
      <x:c r="H65" s="244"/>
      <x:c r="I65" s="244"/>
      <x:c r="J65" s="244"/>
      <x:c r="K65" s="244"/>
      <x:c r="L65" s="244"/>
      <x:c r="M65" s="244"/>
      <x:c r="N65" s="244"/>
      <x:c r="O65" s="244"/>
      <x:c r="P65" s="244"/>
      <x:c r="Q65" s="244"/>
      <x:c r="R65" s="244"/>
      <x:c r="S65" s="244"/>
      <x:c r="T65" s="244"/>
      <x:c r="U65" s="261"/>
    </x:row>
    <x:row r="66">
      <x:c r="A66" s="3"/>
      <x:c r="B66" s="262"/>
      <x:c r="C66" s="244"/>
      <x:c r="D66" s="244"/>
      <x:c r="E66" s="244"/>
      <x:c r="F66" s="244"/>
      <x:c r="G66" s="244"/>
      <x:c r="H66" s="244"/>
      <x:c r="I66" s="244"/>
      <x:c r="J66" s="244"/>
      <x:c r="K66" s="244"/>
      <x:c r="L66" s="244"/>
      <x:c r="M66" s="244"/>
      <x:c r="N66" s="244"/>
      <x:c r="O66" s="244"/>
      <x:c r="P66" s="244"/>
      <x:c r="Q66" s="244"/>
      <x:c r="R66" s="244"/>
      <x:c r="S66" s="244"/>
      <x:c r="T66" s="244"/>
      <x:c r="U66" s="261"/>
    </x:row>
    <x:row r="67">
      <x:c r="A67" s="3"/>
      <x:c r="B67" s="262"/>
      <x:c r="C67" s="244"/>
      <x:c r="D67" s="244"/>
      <x:c r="E67" s="244"/>
      <x:c r="F67" s="244"/>
      <x:c r="G67" s="244"/>
      <x:c r="H67" s="244"/>
      <x:c r="I67" s="244"/>
      <x:c r="J67" s="244"/>
      <x:c r="K67" s="244"/>
      <x:c r="L67" s="244"/>
      <x:c r="M67" s="244"/>
      <x:c r="N67" s="244"/>
      <x:c r="O67" s="244"/>
      <x:c r="P67" s="244"/>
      <x:c r="Q67" s="244"/>
      <x:c r="R67" s="244"/>
      <x:c r="S67" s="244"/>
      <x:c r="T67" s="244"/>
      <x:c r="U67" s="261"/>
    </x:row>
    <x:row r="68">
      <x:c r="A68" s="3"/>
      <x:c r="B68" s="262"/>
      <x:c r="C68" s="244"/>
      <x:c r="D68" s="244"/>
      <x:c r="E68" s="244"/>
      <x:c r="F68" s="244"/>
      <x:c r="G68" s="244"/>
      <x:c r="H68" s="244"/>
      <x:c r="I68" s="244"/>
      <x:c r="J68" s="244"/>
      <x:c r="K68" s="244"/>
      <x:c r="L68" s="244"/>
      <x:c r="M68" s="244"/>
      <x:c r="N68" s="244"/>
      <x:c r="O68" s="244"/>
      <x:c r="P68" s="244"/>
      <x:c r="Q68" s="244"/>
      <x:c r="R68" s="244"/>
      <x:c r="S68" s="244"/>
      <x:c r="T68" s="244"/>
      <x:c r="U68" s="261"/>
    </x:row>
    <x:row r="69">
      <x:c r="A69" s="3"/>
      <x:c r="B69" s="262"/>
      <x:c r="C69" s="244"/>
      <x:c r="D69" s="244"/>
      <x:c r="E69" s="244"/>
      <x:c r="F69" s="244"/>
      <x:c r="G69" s="244"/>
      <x:c r="H69" s="244"/>
      <x:c r="I69" s="244"/>
      <x:c r="J69" s="244"/>
      <x:c r="K69" s="244"/>
      <x:c r="L69" s="244"/>
      <x:c r="M69" s="244"/>
      <x:c r="N69" s="244"/>
      <x:c r="O69" s="244"/>
      <x:c r="P69" s="244"/>
      <x:c r="Q69" s="244"/>
      <x:c r="R69" s="244"/>
      <x:c r="S69" s="244"/>
      <x:c r="T69" s="244"/>
      <x:c r="U69" s="261"/>
    </x:row>
    <x:row r="70">
      <x:c r="A70" s="3"/>
      <x:c r="B70" s="262"/>
      <x:c r="C70" s="244"/>
      <x:c r="D70" s="244"/>
      <x:c r="E70" s="244"/>
      <x:c r="F70" s="244"/>
      <x:c r="G70" s="244"/>
      <x:c r="H70" s="244"/>
      <x:c r="I70" s="244"/>
      <x:c r="J70" s="244"/>
      <x:c r="K70" s="244"/>
      <x:c r="L70" s="244"/>
      <x:c r="M70" s="244"/>
      <x:c r="N70" s="244"/>
      <x:c r="O70" s="244"/>
      <x:c r="P70" s="244"/>
      <x:c r="Q70" s="244"/>
      <x:c r="R70" s="244"/>
      <x:c r="S70" s="244"/>
      <x:c r="T70" s="244"/>
      <x:c r="U70" s="261"/>
    </x:row>
    <x:row r="71">
      <x:c r="A71" s="3"/>
      <x:c r="B71" s="262"/>
      <x:c r="C71" s="244"/>
      <x:c r="D71" s="244"/>
      <x:c r="E71" s="244"/>
      <x:c r="F71" s="244"/>
      <x:c r="G71" s="244"/>
      <x:c r="H71" s="244"/>
      <x:c r="I71" s="244"/>
      <x:c r="J71" s="244"/>
      <x:c r="K71" s="244"/>
      <x:c r="L71" s="244"/>
      <x:c r="M71" s="244"/>
      <x:c r="N71" s="244"/>
      <x:c r="O71" s="244"/>
      <x:c r="P71" s="244"/>
      <x:c r="Q71" s="244"/>
      <x:c r="R71" s="244"/>
      <x:c r="S71" s="244"/>
      <x:c r="T71" s="244"/>
      <x:c r="U71" s="261"/>
    </x:row>
    <x:row r="72">
      <x:c r="A72" s="3"/>
      <x:c r="B72" s="262"/>
      <x:c r="C72" s="244"/>
      <x:c r="D72" s="244"/>
      <x:c r="E72" s="244"/>
      <x:c r="F72" s="244"/>
      <x:c r="G72" s="244"/>
      <x:c r="H72" s="244"/>
      <x:c r="I72" s="244"/>
      <x:c r="J72" s="244"/>
      <x:c r="K72" s="244"/>
      <x:c r="L72" s="244"/>
      <x:c r="M72" s="244"/>
      <x:c r="N72" s="244"/>
      <x:c r="O72" s="244"/>
      <x:c r="P72" s="244"/>
      <x:c r="Q72" s="244"/>
      <x:c r="R72" s="244"/>
      <x:c r="S72" s="244"/>
      <x:c r="T72" s="244"/>
      <x:c r="U72" s="261"/>
    </x:row>
    <x:row r="73">
      <x:c r="A73" s="3"/>
      <x:c r="B73" s="262"/>
      <x:c r="C73" s="244"/>
      <x:c r="D73" s="244"/>
      <x:c r="E73" s="244"/>
      <x:c r="F73" s="244"/>
      <x:c r="G73" s="244"/>
      <x:c r="H73" s="244"/>
      <x:c r="I73" s="244"/>
      <x:c r="J73" s="244"/>
      <x:c r="K73" s="244"/>
      <x:c r="L73" s="244"/>
      <x:c r="M73" s="244"/>
      <x:c r="N73" s="244"/>
      <x:c r="O73" s="244"/>
      <x:c r="P73" s="244"/>
      <x:c r="Q73" s="244"/>
      <x:c r="R73" s="244"/>
      <x:c r="S73" s="244"/>
      <x:c r="T73" s="244"/>
      <x:c r="U73" s="261"/>
    </x:row>
    <x:row r="74">
      <x:c r="A74" s="3"/>
      <x:c r="B74" s="262"/>
      <x:c r="C74" s="244"/>
      <x:c r="D74" s="244"/>
      <x:c r="E74" s="244"/>
      <x:c r="F74" s="244"/>
      <x:c r="G74" s="244"/>
      <x:c r="H74" s="244"/>
      <x:c r="I74" s="244"/>
      <x:c r="J74" s="244"/>
      <x:c r="K74" s="244"/>
      <x:c r="L74" s="244"/>
      <x:c r="M74" s="244"/>
      <x:c r="N74" s="244"/>
      <x:c r="O74" s="244"/>
      <x:c r="P74" s="244"/>
      <x:c r="Q74" s="244"/>
      <x:c r="R74" s="244"/>
      <x:c r="S74" s="244"/>
      <x:c r="T74" s="244"/>
      <x:c r="U74" s="261"/>
    </x:row>
    <x:row r="75">
      <x:c r="A75" s="3"/>
      <x:c r="B75" s="262"/>
      <x:c r="C75" s="244"/>
      <x:c r="D75" s="244"/>
      <x:c r="E75" s="244"/>
      <x:c r="F75" s="244"/>
      <x:c r="G75" s="244"/>
      <x:c r="H75" s="244"/>
      <x:c r="I75" s="244"/>
      <x:c r="J75" s="244"/>
      <x:c r="K75" s="244"/>
      <x:c r="L75" s="244"/>
      <x:c r="M75" s="244"/>
      <x:c r="N75" s="244"/>
      <x:c r="O75" s="244"/>
      <x:c r="P75" s="244"/>
      <x:c r="Q75" s="244"/>
      <x:c r="R75" s="244"/>
      <x:c r="S75" s="244"/>
      <x:c r="T75" s="244"/>
      <x:c r="U75" s="261"/>
    </x:row>
    <x:row r="76">
      <x:c r="A76" s="3"/>
      <x:c r="B76" s="262"/>
      <x:c r="C76" s="244"/>
      <x:c r="D76" s="244"/>
      <x:c r="E76" s="244"/>
      <x:c r="F76" s="244"/>
      <x:c r="G76" s="244"/>
      <x:c r="H76" s="244"/>
      <x:c r="I76" s="244"/>
      <x:c r="J76" s="244"/>
      <x:c r="K76" s="244"/>
      <x:c r="L76" s="244"/>
      <x:c r="M76" s="244"/>
      <x:c r="N76" s="244"/>
      <x:c r="O76" s="244"/>
      <x:c r="P76" s="244"/>
      <x:c r="Q76" s="244"/>
      <x:c r="R76" s="244"/>
      <x:c r="S76" s="244"/>
      <x:c r="T76" s="244"/>
      <x:c r="U76" s="261"/>
    </x:row>
    <x:row r="77">
      <x:c r="A77" s="3"/>
      <x:c r="B77" s="262"/>
      <x:c r="C77" s="244"/>
      <x:c r="D77" s="244"/>
      <x:c r="E77" s="244"/>
      <x:c r="F77" s="244"/>
      <x:c r="G77" s="244"/>
      <x:c r="H77" s="244"/>
      <x:c r="I77" s="244"/>
      <x:c r="J77" s="244"/>
      <x:c r="K77" s="244"/>
      <x:c r="L77" s="244"/>
      <x:c r="M77" s="244"/>
      <x:c r="N77" s="244"/>
      <x:c r="O77" s="244"/>
      <x:c r="P77" s="244"/>
      <x:c r="Q77" s="244"/>
      <x:c r="R77" s="244"/>
      <x:c r="S77" s="244"/>
      <x:c r="T77" s="244"/>
      <x:c r="U77" s="261"/>
    </x:row>
    <x:row r="78">
      <x:c r="A78" s="3"/>
      <x:c r="B78" s="262"/>
      <x:c r="C78" s="244"/>
      <x:c r="D78" s="244"/>
      <x:c r="E78" s="244"/>
      <x:c r="F78" s="244"/>
      <x:c r="G78" s="244"/>
      <x:c r="H78" s="244"/>
      <x:c r="I78" s="244"/>
      <x:c r="J78" s="244"/>
      <x:c r="K78" s="244"/>
      <x:c r="L78" s="244"/>
      <x:c r="M78" s="244"/>
      <x:c r="N78" s="244"/>
      <x:c r="O78" s="244"/>
      <x:c r="P78" s="244"/>
      <x:c r="Q78" s="244"/>
      <x:c r="R78" s="244"/>
      <x:c r="S78" s="244"/>
      <x:c r="T78" s="244"/>
      <x:c r="U78" s="261"/>
    </x:row>
    <x:row r="79">
      <x:c r="A79" s="3"/>
      <x:c r="B79" s="262"/>
      <x:c r="C79" s="244"/>
      <x:c r="D79" s="244"/>
      <x:c r="E79" s="244"/>
      <x:c r="F79" s="244"/>
      <x:c r="G79" s="244"/>
      <x:c r="H79" s="244"/>
      <x:c r="I79" s="244"/>
      <x:c r="J79" s="244"/>
      <x:c r="K79" s="244"/>
      <x:c r="L79" s="244"/>
      <x:c r="M79" s="244"/>
      <x:c r="N79" s="244"/>
      <x:c r="O79" s="244"/>
      <x:c r="P79" s="244"/>
      <x:c r="Q79" s="244"/>
      <x:c r="R79" s="244"/>
      <x:c r="S79" s="244"/>
      <x:c r="T79" s="244"/>
      <x:c r="U79" s="261"/>
    </x:row>
    <x:row r="80">
      <x:c r="A80" s="3"/>
      <x:c r="B80" s="262"/>
      <x:c r="C80" s="244"/>
      <x:c r="D80" s="244"/>
      <x:c r="E80" s="244"/>
      <x:c r="F80" s="244"/>
      <x:c r="G80" s="244"/>
      <x:c r="H80" s="244"/>
      <x:c r="I80" s="244"/>
      <x:c r="J80" s="244"/>
      <x:c r="K80" s="244"/>
      <x:c r="L80" s="244"/>
      <x:c r="M80" s="244"/>
      <x:c r="N80" s="244"/>
      <x:c r="O80" s="244"/>
      <x:c r="P80" s="244"/>
      <x:c r="Q80" s="244"/>
      <x:c r="R80" s="244"/>
      <x:c r="S80" s="244"/>
      <x:c r="T80" s="244"/>
      <x:c r="U80" s="261"/>
    </x:row>
    <x:row r="81">
      <x:c r="A81" s="3"/>
      <x:c r="B81" s="262"/>
      <x:c r="C81" s="244"/>
      <x:c r="D81" s="244"/>
      <x:c r="E81" s="244"/>
      <x:c r="F81" s="244"/>
      <x:c r="G81" s="244"/>
      <x:c r="H81" s="244"/>
      <x:c r="I81" s="244"/>
      <x:c r="J81" s="244"/>
      <x:c r="K81" s="244"/>
      <x:c r="L81" s="244"/>
      <x:c r="M81" s="244"/>
      <x:c r="N81" s="244"/>
      <x:c r="O81" s="244"/>
      <x:c r="P81" s="244"/>
      <x:c r="Q81" s="244"/>
      <x:c r="R81" s="244"/>
      <x:c r="S81" s="244"/>
      <x:c r="T81" s="244"/>
      <x:c r="U81" s="261"/>
    </x:row>
    <x:row r="82">
      <x:c r="A82" s="3"/>
      <x:c r="B82" s="262"/>
      <x:c r="C82" s="244"/>
      <x:c r="D82" s="244"/>
      <x:c r="E82" s="244"/>
      <x:c r="F82" s="244"/>
      <x:c r="G82" s="244"/>
      <x:c r="H82" s="244"/>
      <x:c r="I82" s="244"/>
      <x:c r="J82" s="244"/>
      <x:c r="K82" s="244"/>
      <x:c r="L82" s="244"/>
      <x:c r="M82" s="244"/>
      <x:c r="N82" s="244"/>
      <x:c r="O82" s="244"/>
      <x:c r="P82" s="244"/>
      <x:c r="Q82" s="244"/>
      <x:c r="R82" s="244"/>
      <x:c r="S82" s="244"/>
      <x:c r="T82" s="244"/>
      <x:c r="U82" s="261"/>
    </x:row>
    <x:row r="83">
      <x:c r="A83" s="3"/>
      <x:c r="B83" s="262"/>
      <x:c r="C83" s="244"/>
      <x:c r="D83" s="244"/>
      <x:c r="E83" s="244"/>
      <x:c r="F83" s="244"/>
      <x:c r="G83" s="244"/>
      <x:c r="H83" s="244"/>
      <x:c r="I83" s="244"/>
      <x:c r="J83" s="244"/>
      <x:c r="K83" s="244"/>
      <x:c r="L83" s="244"/>
      <x:c r="M83" s="244"/>
      <x:c r="N83" s="244"/>
      <x:c r="O83" s="244"/>
      <x:c r="P83" s="244"/>
      <x:c r="Q83" s="244"/>
      <x:c r="R83" s="244"/>
      <x:c r="S83" s="244"/>
      <x:c r="T83" s="244"/>
      <x:c r="U83" s="261"/>
    </x:row>
    <x:row r="84">
      <x:c r="A84" s="3"/>
      <x:c r="B84" s="262"/>
      <x:c r="C84" s="244"/>
      <x:c r="D84" s="244"/>
      <x:c r="E84" s="244"/>
      <x:c r="F84" s="244"/>
      <x:c r="G84" s="244"/>
      <x:c r="H84" s="244"/>
      <x:c r="I84" s="244"/>
      <x:c r="J84" s="244"/>
      <x:c r="K84" s="244"/>
      <x:c r="L84" s="244"/>
      <x:c r="M84" s="244"/>
      <x:c r="N84" s="244"/>
      <x:c r="O84" s="244"/>
      <x:c r="P84" s="244"/>
      <x:c r="Q84" s="244"/>
      <x:c r="R84" s="244"/>
      <x:c r="S84" s="244"/>
      <x:c r="T84" s="244"/>
      <x:c r="U84" s="261"/>
    </x:row>
    <x:row r="85">
      <x:c r="A85" s="3"/>
      <x:c r="B85" s="262"/>
      <x:c r="C85" s="244"/>
      <x:c r="D85" s="244"/>
      <x:c r="E85" s="244"/>
      <x:c r="F85" s="244"/>
      <x:c r="G85" s="244"/>
      <x:c r="H85" s="244"/>
      <x:c r="I85" s="244"/>
      <x:c r="J85" s="244"/>
      <x:c r="K85" s="244"/>
      <x:c r="L85" s="244"/>
      <x:c r="M85" s="244"/>
      <x:c r="N85" s="244"/>
      <x:c r="O85" s="244"/>
      <x:c r="P85" s="244"/>
      <x:c r="Q85" s="244"/>
      <x:c r="R85" s="244"/>
      <x:c r="S85" s="244"/>
      <x:c r="T85" s="244"/>
      <x:c r="U85" s="261"/>
    </x:row>
    <x:row r="86">
      <x:c r="A86" s="3"/>
      <x:c r="B86" s="262"/>
      <x:c r="C86" s="244"/>
      <x:c r="D86" s="244"/>
      <x:c r="E86" s="244"/>
      <x:c r="F86" s="244"/>
      <x:c r="G86" s="244"/>
      <x:c r="H86" s="244"/>
      <x:c r="I86" s="244"/>
      <x:c r="J86" s="244"/>
      <x:c r="K86" s="244"/>
      <x:c r="L86" s="244"/>
      <x:c r="M86" s="244"/>
      <x:c r="N86" s="244"/>
      <x:c r="O86" s="244"/>
      <x:c r="P86" s="244"/>
      <x:c r="Q86" s="244"/>
      <x:c r="R86" s="244"/>
      <x:c r="S86" s="244"/>
      <x:c r="T86" s="244"/>
      <x:c r="U86" s="261"/>
    </x:row>
    <x:row r="87">
      <x:c r="A87" s="3"/>
      <x:c r="B87" s="262"/>
      <x:c r="C87" s="244"/>
      <x:c r="D87" s="244"/>
      <x:c r="E87" s="244"/>
      <x:c r="F87" s="244"/>
      <x:c r="G87" s="244"/>
      <x:c r="H87" s="244"/>
      <x:c r="I87" s="244"/>
      <x:c r="J87" s="244"/>
      <x:c r="K87" s="244"/>
      <x:c r="L87" s="244"/>
      <x:c r="M87" s="244"/>
      <x:c r="N87" s="244"/>
      <x:c r="O87" s="244"/>
      <x:c r="P87" s="244"/>
      <x:c r="Q87" s="244"/>
      <x:c r="R87" s="244"/>
      <x:c r="S87" s="244"/>
      <x:c r="T87" s="244"/>
      <x:c r="U87" s="261"/>
    </x:row>
    <x:row r="88">
      <x:c r="A88" s="3"/>
      <x:c r="B88" s="262"/>
      <x:c r="C88" s="244"/>
      <x:c r="D88" s="244"/>
      <x:c r="E88" s="244"/>
      <x:c r="F88" s="244"/>
      <x:c r="G88" s="244"/>
      <x:c r="H88" s="244"/>
      <x:c r="I88" s="244"/>
      <x:c r="J88" s="244"/>
      <x:c r="K88" s="244"/>
      <x:c r="L88" s="244"/>
      <x:c r="M88" s="244"/>
      <x:c r="N88" s="244"/>
      <x:c r="O88" s="244"/>
      <x:c r="P88" s="244"/>
      <x:c r="Q88" s="244"/>
      <x:c r="R88" s="244"/>
      <x:c r="S88" s="244"/>
      <x:c r="T88" s="244"/>
      <x:c r="U88" s="261"/>
    </x:row>
    <x:row r="89">
      <x:c r="A89" s="3"/>
      <x:c r="B89" s="262"/>
      <x:c r="C89" s="244"/>
      <x:c r="D89" s="244"/>
      <x:c r="E89" s="244"/>
      <x:c r="F89" s="244"/>
      <x:c r="G89" s="244"/>
      <x:c r="H89" s="244"/>
      <x:c r="I89" s="244"/>
      <x:c r="J89" s="244"/>
      <x:c r="K89" s="244"/>
      <x:c r="L89" s="244"/>
      <x:c r="M89" s="244"/>
      <x:c r="N89" s="244"/>
      <x:c r="O89" s="244"/>
      <x:c r="P89" s="244"/>
      <x:c r="Q89" s="244"/>
      <x:c r="R89" s="244"/>
      <x:c r="S89" s="244"/>
      <x:c r="T89" s="244"/>
      <x:c r="U89" s="261"/>
    </x:row>
    <x:row r="90">
      <x:c r="A90" s="3"/>
      <x:c r="B90" s="266"/>
      <x:c r="C90" s="267"/>
      <x:c r="D90" s="267"/>
      <x:c r="E90" s="267"/>
      <x:c r="F90" s="267"/>
      <x:c r="G90" s="267"/>
      <x:c r="H90" s="267"/>
      <x:c r="I90" s="267"/>
      <x:c r="J90" s="267"/>
      <x:c r="K90" s="267"/>
      <x:c r="L90" s="267"/>
      <x:c r="M90" s="267"/>
      <x:c r="N90" s="267"/>
      <x:c r="O90" s="267"/>
      <x:c r="P90" s="267"/>
      <x:c r="Q90" s="267"/>
      <x:c r="R90" s="267"/>
      <x:c r="S90" s="267"/>
      <x:c r="T90" s="267"/>
      <x:c r="U90" s="268"/>
    </x:row>
  </x:sheetData>
  <x:mergeCells>
    <x:mergeCell ref="B2:K2"/>
    <x:mergeCell ref="B3:K3"/>
    <x:mergeCell ref="B4:K4"/>
    <x:mergeCell ref="B6:H6"/>
    <x:mergeCell ref="B10:H10"/>
    <x:mergeCell ref="B35:H35"/>
    <x:mergeCell ref="B36:H36"/>
    <x:mergeCell ref="B37:H37"/>
    <x:mergeCell ref="B38:H38"/>
    <x:mergeCell ref="B39:H39"/>
    <x:mergeCell ref="J6:K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.6700000762939453" hidden="0" customWidth="1"/>
    <x:col min="2" max="2" width="20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7.780000686645508" hidden="0" customWidth="1"/>
    <x:col min="8" max="8" width="25.559999465942383" hidden="0" customWidth="1"/>
    <x:col min="9" max="9" width="18.889999389648438" hidden="0" customWidth="1"/>
    <x:col min="10" max="10" width="23.329999923706055" hidden="0" customWidth="1"/>
    <x:col min="11" max="11" width="20" hidden="0" customWidth="1"/>
    <x:col min="12" max="12" width="17.780000686645508" hidden="0" customWidth="1"/>
    <x:col min="13" max="13" width="16.670000076293945" hidden="0" customWidth="1"/>
    <x:col min="14" max="14" width="16.670000076293945" hidden="0" customWidth="1"/>
    <x:col min="15" max="15" width="16.670000076293945" hidden="0" customWidth="1"/>
    <x:col min="16" max="16" width="16.670000076293945" hidden="0" customWidth="1"/>
    <x:col min="17" max="17" width="16.670000076293945" hidden="0" customWidth="1"/>
    <x:col min="18" max="18" width="16.670000076293945" hidden="0" customWidth="1"/>
    <x:col min="19" max="19" width="16.670000076293945" hidden="0" customWidth="1"/>
    <x:col min="20" max="20" width="16.670000076293945" hidden="0" customWidth="1"/>
    <x:col min="21" max="21" width="16.670000076293945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>
      <x:c r="A2" s="3"/>
      <x:c r="B2" s="230" t="str">
        <x:v>Daily Log</x:v>
      </x:c>
      <x:c r="C2" s="231" t="str"/>
      <x:c r="D2" s="231" t="str"/>
      <x:c r="E2" s="231" t="str"/>
      <x:c r="F2" s="231" t="str"/>
      <x:c r="G2" s="231" t="str"/>
      <x:c r="H2" s="231" t="str"/>
      <x:c r="I2" s="231" t="str"/>
      <x:c r="J2" s="231" t="str"/>
      <x:c r="K2" s="232" t="str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>
      <x:c r="A3" s="3"/>
      <x:c r="B3" s="233" t="str">
        <x:v>Enter real income and spending as life happens.</x:v>
      </x:c>
      <x:c r="C3" s="6" t="str"/>
      <x:c r="D3" s="6" t="str"/>
      <x:c r="E3" s="6" t="str"/>
      <x:c r="F3" s="6" t="str"/>
      <x:c r="G3" s="6" t="str"/>
      <x:c r="H3" s="6" t="str"/>
      <x:c r="I3" s="6" t="str"/>
      <x:c r="J3" s="6" t="str"/>
      <x:c r="K3" s="234" t="str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>
      <x:c r="A4" s="3"/>
      <x:c r="B4" s="235" t="str">
        <x:v>Purpose: feed actuals without making you update the same number twice.</x:v>
      </x:c>
      <x:c r="C4" s="236" t="str"/>
      <x:c r="D4" s="236" t="str"/>
      <x:c r="E4" s="236" t="str"/>
      <x:c r="F4" s="236" t="str"/>
      <x:c r="G4" s="236" t="str"/>
      <x:c r="H4" s="236" t="str"/>
      <x:c r="I4" s="236" t="str"/>
      <x:c r="J4" s="236" t="str"/>
      <x:c r="K4" s="237" t="str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</x:row>
    <x:row r="6">
      <x:c r="A6" s="3"/>
      <x:c r="B6" s="256" t="str">
        <x:v>Transaction log - use the Category and Need / Want dropdowns</x:v>
      </x:c>
      <x:c r="C6" s="257" t="str">
        <x:v>Transaction log - use the Category and Need / Want dropdowns</x:v>
      </x:c>
      <x:c r="D6" s="257" t="str">
        <x:v>Transaction log - use the Category and Need / Want dropdowns</x:v>
      </x:c>
      <x:c r="E6" s="257" t="str">
        <x:v>Transaction log - use the Category and Need / Want dropdowns</x:v>
      </x:c>
      <x:c r="F6" s="257" t="str">
        <x:v>Transaction log - use the Category and Need / Want dropdowns</x:v>
      </x:c>
      <x:c r="G6" s="257" t="str">
        <x:v>Transaction log - use the Category and Need / Want dropdowns</x:v>
      </x:c>
      <x:c r="H6" s="257" t="str">
        <x:v>Transaction log - use the Category and Need / Want dropdowns</x:v>
      </x:c>
      <x:c r="I6" s="258"/>
      <x:c r="J6" s="257" t="str">
        <x:v>Category guide</x:v>
      </x:c>
      <x:c r="K6" s="257" t="str">
        <x:v>Category guide</x:v>
      </x:c>
      <x:c r="L6" s="258"/>
      <x:c r="M6" s="258"/>
      <x:c r="N6" s="258"/>
      <x:c r="O6" s="258"/>
      <x:c r="P6" s="258"/>
      <x:c r="Q6" s="258"/>
      <x:c r="R6" s="258"/>
      <x:c r="S6" s="258"/>
      <x:c r="T6" s="258"/>
      <x:c r="U6" s="259"/>
    </x:row>
    <x:row r="7">
      <x:c r="A7" s="3"/>
      <x:c r="B7" s="337" t="str">
        <x:v>Date</x:v>
      </x:c>
      <x:c r="C7" s="338" t="str">
        <x:v>Description</x:v>
      </x:c>
      <x:c r="D7" s="338" t="str">
        <x:v>Category</x:v>
      </x:c>
      <x:c r="E7" s="338" t="str">
        <x:v>Amount</x:v>
      </x:c>
      <x:c r="F7" s="338" t="str">
        <x:v>Type</x:v>
      </x:c>
      <x:c r="G7" s="338" t="str">
        <x:v>Need / Want</x:v>
      </x:c>
      <x:c r="H7" s="338" t="str">
        <x:v>Notes</x:v>
      </x:c>
      <x:c r="I7" s="244"/>
      <x:c r="J7" s="338" t="str">
        <x:v>Category</x:v>
      </x:c>
      <x:c r="K7" s="338" t="str">
        <x:v>Use for</x:v>
      </x:c>
      <x:c r="L7" s="338" t="str">
        <x:v>Type</x:v>
      </x:c>
      <x:c r="M7" s="244"/>
      <x:c r="N7" s="244"/>
      <x:c r="O7" s="244"/>
      <x:c r="P7" s="244"/>
      <x:c r="Q7" s="244"/>
      <x:c r="R7" s="244"/>
      <x:c r="S7" s="244"/>
      <x:c r="T7" s="244"/>
      <x:c r="U7" s="261"/>
    </x:row>
    <x:row r="8">
      <x:c r="A8" s="3"/>
      <x:c r="B8" s="323" t="n">
        <x:v>46024</x:v>
      </x:c>
      <x:c r="C8" s="318" t="str">
        <x:v>January paychecks</x:v>
      </x:c>
      <x:c r="D8" s="318" t="str">
        <x:v>Income</x:v>
      </x:c>
      <x:c r="E8" s="319" t="n">
        <x:v>4800</x:v>
      </x:c>
      <x:c r="F8" s="320" t="str">
        <x:f>IF(D8="","",INDEX($L$8:$L$26,MATCH(D8,$J$8:$J$26,0)))</x:f>
        <x:v>Income</x:v>
      </x:c>
      <x:c r="G8" s="318" t="str"/>
      <x:c r="H8" s="318" t="str">
        <x:v>Example income entry</x:v>
      </x:c>
      <x:c r="I8" s="244"/>
      <x:c r="J8" s="252" t="str">
        <x:v>Income</x:v>
      </x:c>
      <x:c r="K8" s="252" t="str">
        <x:v>Paychecks, side income, reimbursements, and cash received.</x:v>
      </x:c>
      <x:c r="L8" s="252" t="str">
        <x:v>Income</x:v>
      </x:c>
      <x:c r="M8" s="244"/>
      <x:c r="N8" s="244"/>
      <x:c r="O8" s="244"/>
      <x:c r="P8" s="244"/>
      <x:c r="Q8" s="244"/>
      <x:c r="R8" s="244"/>
      <x:c r="S8" s="244"/>
      <x:c r="T8" s="244"/>
      <x:c r="U8" s="261"/>
    </x:row>
    <x:row r="9">
      <x:c r="A9" s="3"/>
      <x:c r="B9" s="323" t="n">
        <x:v>46025</x:v>
      </x:c>
      <x:c r="C9" s="318" t="str">
        <x:v>Rent / mortgage</x:v>
      </x:c>
      <x:c r="D9" s="318" t="str">
        <x:v>Housing</x:v>
      </x:c>
      <x:c r="E9" s="319" t="n">
        <x:v>1850</x:v>
      </x:c>
      <x:c r="F9" s="320" t="str">
        <x:f>IF(D9="","",INDEX($L$8:$L$26,MATCH(D9,$J$8:$J$26,0)))</x:f>
        <x:v>Expense</x:v>
      </x:c>
      <x:c r="G9" s="318" t="str">
        <x:v>Need</x:v>
      </x:c>
      <x:c r="H9" s="318" t="str"/>
      <x:c r="I9" s="244"/>
      <x:c r="J9" s="252" t="str">
        <x:v>Housing</x:v>
      </x:c>
      <x:c r="K9" s="252" t="str">
        <x:v>Rent, mortgage, HOA dues, or property fees.</x:v>
      </x:c>
      <x:c r="L9" s="252" t="str">
        <x:v>Expense</x:v>
      </x:c>
      <x:c r="M9" s="244"/>
      <x:c r="N9" s="244"/>
      <x:c r="O9" s="244"/>
      <x:c r="P9" s="244"/>
      <x:c r="Q9" s="244"/>
      <x:c r="R9" s="244"/>
      <x:c r="S9" s="244"/>
      <x:c r="T9" s="244"/>
      <x:c r="U9" s="261"/>
    </x:row>
    <x:row r="10">
      <x:c r="A10" s="3"/>
      <x:c r="B10" s="323" t="n">
        <x:v>46027</x:v>
      </x:c>
      <x:c r="C10" s="318" t="str">
        <x:v>Utilities and insurance</x:v>
      </x:c>
      <x:c r="D10" s="318" t="str">
        <x:v>Utilities</x:v>
      </x:c>
      <x:c r="E10" s="319" t="n">
        <x:v>350</x:v>
      </x:c>
      <x:c r="F10" s="320" t="str">
        <x:f>IF(D10="","",INDEX($L$8:$L$26,MATCH(D10,$J$8:$J$26,0)))</x:f>
        <x:v>Expense</x:v>
      </x:c>
      <x:c r="G10" s="318" t="str">
        <x:v>Need</x:v>
      </x:c>
      <x:c r="H10" s="318" t="str"/>
      <x:c r="I10" s="244"/>
      <x:c r="J10" s="252" t="str">
        <x:v>Utilities</x:v>
      </x:c>
      <x:c r="K10" s="252" t="str">
        <x:v>Electricity, water, gas, trash, and similar household utilities.</x:v>
      </x:c>
      <x:c r="L10" s="252" t="str">
        <x:v>Expense</x:v>
      </x:c>
      <x:c r="M10" s="244"/>
      <x:c r="N10" s="244"/>
      <x:c r="O10" s="244"/>
      <x:c r="P10" s="244"/>
      <x:c r="Q10" s="244"/>
      <x:c r="R10" s="244"/>
      <x:c r="S10" s="244"/>
      <x:c r="T10" s="244"/>
      <x:c r="U10" s="261"/>
    </x:row>
    <x:row r="11">
      <x:c r="A11" s="3"/>
      <x:c r="B11" s="323" t="n">
        <x:v>46030</x:v>
      </x:c>
      <x:c r="C11" s="318" t="str">
        <x:v>Groceries</x:v>
      </x:c>
      <x:c r="D11" s="318" t="str">
        <x:v>Groceries</x:v>
      </x:c>
      <x:c r="E11" s="319" t="n">
        <x:v>465</x:v>
      </x:c>
      <x:c r="F11" s="320" t="str">
        <x:f>IF(D11="","",INDEX($L$8:$L$26,MATCH(D11,$J$8:$J$26,0)))</x:f>
        <x:v>Expense</x:v>
      </x:c>
      <x:c r="G11" s="318" t="str">
        <x:v>Need</x:v>
      </x:c>
      <x:c r="H11" s="318" t="str"/>
      <x:c r="I11" s="244"/>
      <x:c r="J11" s="252" t="str">
        <x:v>Insurance</x:v>
      </x:c>
      <x:c r="K11" s="252" t="str">
        <x:v>Auto, renters, homeowners, life, or other insurance premiums.</x:v>
      </x:c>
      <x:c r="L11" s="252" t="str">
        <x:v>Expense</x:v>
      </x:c>
      <x:c r="M11" s="244"/>
      <x:c r="N11" s="244"/>
      <x:c r="O11" s="244"/>
      <x:c r="P11" s="244"/>
      <x:c r="Q11" s="244"/>
      <x:c r="R11" s="244"/>
      <x:c r="S11" s="244"/>
      <x:c r="T11" s="244"/>
      <x:c r="U11" s="261"/>
    </x:row>
    <x:row r="12">
      <x:c r="A12" s="3"/>
      <x:c r="B12" s="323" t="n">
        <x:v>46034</x:v>
      </x:c>
      <x:c r="C12" s="318" t="str">
        <x:v>Transportation</x:v>
      </x:c>
      <x:c r="D12" s="318" t="str">
        <x:v>Transportation</x:v>
      </x:c>
      <x:c r="E12" s="319" t="n">
        <x:v>138</x:v>
      </x:c>
      <x:c r="F12" s="320" t="str">
        <x:f>IF(D12="","",INDEX($L$8:$L$26,MATCH(D12,$J$8:$J$26,0)))</x:f>
        <x:v>Expense</x:v>
      </x:c>
      <x:c r="G12" s="318" t="str">
        <x:v>Need</x:v>
      </x:c>
      <x:c r="H12" s="318" t="str"/>
      <x:c r="I12" s="244"/>
      <x:c r="J12" s="252" t="str">
        <x:v>Phone &amp; Internet</x:v>
      </x:c>
      <x:c r="K12" s="252" t="str">
        <x:v>Mobile phone, home internet, and related communication costs.</x:v>
      </x:c>
      <x:c r="L12" s="252" t="str">
        <x:v>Expense</x:v>
      </x:c>
      <x:c r="M12" s="244"/>
      <x:c r="N12" s="244"/>
      <x:c r="O12" s="244"/>
      <x:c r="P12" s="244"/>
      <x:c r="Q12" s="244"/>
      <x:c r="R12" s="244"/>
      <x:c r="S12" s="244"/>
      <x:c r="T12" s="244"/>
      <x:c r="U12" s="261"/>
    </x:row>
    <x:row r="13">
      <x:c r="A13" s="3"/>
      <x:c r="B13" s="323" t="n">
        <x:v>46040</x:v>
      </x:c>
      <x:c r="C13" s="318" t="str">
        <x:v>Dining and coffee</x:v>
      </x:c>
      <x:c r="D13" s="318" t="str">
        <x:v>Food &amp; Dining</x:v>
      </x:c>
      <x:c r="E13" s="319" t="n">
        <x:v>285</x:v>
      </x:c>
      <x:c r="F13" s="320" t="str">
        <x:f>IF(D13="","",INDEX($L$8:$L$26,MATCH(D13,$J$8:$J$26,0)))</x:f>
        <x:v>Expense</x:v>
      </x:c>
      <x:c r="G13" s="318" t="str">
        <x:v>Want</x:v>
      </x:c>
      <x:c r="H13" s="318" t="str"/>
      <x:c r="I13" s="244"/>
      <x:c r="J13" s="252" t="str">
        <x:v>Debt</x:v>
      </x:c>
      <x:c r="K13" s="252" t="str">
        <x:v>Minimum debt payments. Extra payoff is planned on the debt tab.</x:v>
      </x:c>
      <x:c r="L13" s="252" t="str">
        <x:v>Expense</x:v>
      </x:c>
      <x:c r="M13" s="244"/>
      <x:c r="N13" s="244"/>
      <x:c r="O13" s="244"/>
      <x:c r="P13" s="244"/>
      <x:c r="Q13" s="244"/>
      <x:c r="R13" s="244"/>
      <x:c r="S13" s="244"/>
      <x:c r="T13" s="244"/>
      <x:c r="U13" s="261"/>
    </x:row>
    <x:row r="14">
      <x:c r="A14" s="3"/>
      <x:c r="B14" s="323" t="n">
        <x:v>46055</x:v>
      </x:c>
      <x:c r="C14" s="318" t="str">
        <x:v>February paychecks</x:v>
      </x:c>
      <x:c r="D14" s="318" t="str">
        <x:v>Income</x:v>
      </x:c>
      <x:c r="E14" s="319" t="n">
        <x:v>4950</x:v>
      </x:c>
      <x:c r="F14" s="320" t="str">
        <x:f>IF(D14="","",INDEX($L$8:$L$26,MATCH(D14,$J$8:$J$26,0)))</x:f>
        <x:v>Income</x:v>
      </x:c>
      <x:c r="G14" s="318" t="str"/>
      <x:c r="H14" s="318" t="str">
        <x:v>Example income entry</x:v>
      </x:c>
      <x:c r="I14" s="244"/>
      <x:c r="J14" s="252" t="str">
        <x:v>Subscriptions</x:v>
      </x:c>
      <x:c r="K14" s="252" t="str">
        <x:v>Recurring apps, software, memberships, and streaming services.</x:v>
      </x:c>
      <x:c r="L14" s="252" t="str">
        <x:v>Expense</x:v>
      </x:c>
      <x:c r="M14" s="244"/>
      <x:c r="N14" s="244"/>
      <x:c r="O14" s="244"/>
      <x:c r="P14" s="244"/>
      <x:c r="Q14" s="244"/>
      <x:c r="R14" s="244"/>
      <x:c r="S14" s="244"/>
      <x:c r="T14" s="244"/>
      <x:c r="U14" s="261"/>
    </x:row>
    <x:row r="15">
      <x:c r="A15" s="3"/>
      <x:c r="B15" s="323" t="n">
        <x:v>46056</x:v>
      </x:c>
      <x:c r="C15" s="318" t="str">
        <x:v>Rent / mortgage</x:v>
      </x:c>
      <x:c r="D15" s="318" t="str">
        <x:v>Housing</x:v>
      </x:c>
      <x:c r="E15" s="319" t="n">
        <x:v>1850</x:v>
      </x:c>
      <x:c r="F15" s="320" t="str">
        <x:f>IF(D15="","",INDEX($L$8:$L$26,MATCH(D15,$J$8:$J$26,0)))</x:f>
        <x:v>Expense</x:v>
      </x:c>
      <x:c r="G15" s="318" t="str">
        <x:v>Need</x:v>
      </x:c>
      <x:c r="H15" s="318" t="str"/>
      <x:c r="I15" s="244"/>
      <x:c r="J15" s="252" t="str">
        <x:v>Savings Transfers</x:v>
      </x:c>
      <x:c r="K15" s="252" t="str">
        <x:v>Money moved to emergency savings, sinking funds, or investments.</x:v>
      </x:c>
      <x:c r="L15" s="252" t="str">
        <x:v>Expense</x:v>
      </x:c>
      <x:c r="M15" s="244"/>
      <x:c r="N15" s="244"/>
      <x:c r="O15" s="244"/>
      <x:c r="P15" s="244"/>
      <x:c r="Q15" s="244"/>
      <x:c r="R15" s="244"/>
      <x:c r="S15" s="244"/>
      <x:c r="T15" s="244"/>
      <x:c r="U15" s="261"/>
    </x:row>
    <x:row r="16">
      <x:c r="A16" s="3"/>
      <x:c r="B16" s="323" t="n">
        <x:v>46058</x:v>
      </x:c>
      <x:c r="C16" s="318" t="str">
        <x:v>Utilities</x:v>
      </x:c>
      <x:c r="D16" s="318" t="str">
        <x:v>Utilities</x:v>
      </x:c>
      <x:c r="E16" s="319" t="n">
        <x:v>265</x:v>
      </x:c>
      <x:c r="F16" s="320" t="str">
        <x:f>IF(D16="","",INDEX($L$8:$L$26,MATCH(D16,$J$8:$J$26,0)))</x:f>
        <x:v>Expense</x:v>
      </x:c>
      <x:c r="G16" s="318" t="str">
        <x:v>Need</x:v>
      </x:c>
      <x:c r="H16" s="318" t="str"/>
      <x:c r="I16" s="244"/>
      <x:c r="J16" s="252" t="str">
        <x:v>Groceries</x:v>
      </x:c>
      <x:c r="K16" s="252" t="str">
        <x:v>Food at home and normal household basics.</x:v>
      </x:c>
      <x:c r="L16" s="252" t="str">
        <x:v>Expense</x:v>
      </x:c>
      <x:c r="M16" s="244"/>
      <x:c r="N16" s="244"/>
      <x:c r="O16" s="244"/>
      <x:c r="P16" s="244"/>
      <x:c r="Q16" s="244"/>
      <x:c r="R16" s="244"/>
      <x:c r="S16" s="244"/>
      <x:c r="T16" s="244"/>
      <x:c r="U16" s="261"/>
    </x:row>
    <x:row r="17">
      <x:c r="A17" s="3"/>
      <x:c r="B17" s="323" t="n">
        <x:v>46060</x:v>
      </x:c>
      <x:c r="C17" s="318" t="str">
        <x:v>Insurance</x:v>
      </x:c>
      <x:c r="D17" s="318" t="str">
        <x:v>Insurance</x:v>
      </x:c>
      <x:c r="E17" s="319" t="n">
        <x:v>240</x:v>
      </x:c>
      <x:c r="F17" s="320" t="str">
        <x:f>IF(D17="","",INDEX($L$8:$L$26,MATCH(D17,$J$8:$J$26,0)))</x:f>
        <x:v>Expense</x:v>
      </x:c>
      <x:c r="G17" s="318" t="str">
        <x:v>Need</x:v>
      </x:c>
      <x:c r="H17" s="318" t="str"/>
      <x:c r="I17" s="244"/>
      <x:c r="J17" s="252" t="str">
        <x:v>Transportation</x:v>
      </x:c>
      <x:c r="K17" s="252" t="str">
        <x:v>Gas, parking, rideshare, tolls, transit, and routine vehicle costs.</x:v>
      </x:c>
      <x:c r="L17" s="252" t="str">
        <x:v>Expense</x:v>
      </x:c>
      <x:c r="M17" s="244"/>
      <x:c r="N17" s="244"/>
      <x:c r="O17" s="244"/>
      <x:c r="P17" s="244"/>
      <x:c r="Q17" s="244"/>
      <x:c r="R17" s="244"/>
      <x:c r="S17" s="244"/>
      <x:c r="T17" s="244"/>
      <x:c r="U17" s="261"/>
    </x:row>
    <x:row r="18">
      <x:c r="A18" s="3"/>
      <x:c r="B18" s="323" t="n">
        <x:v>46062</x:v>
      </x:c>
      <x:c r="C18" s="318" t="str">
        <x:v>Groceries</x:v>
      </x:c>
      <x:c r="D18" s="318" t="str">
        <x:v>Groceries</x:v>
      </x:c>
      <x:c r="E18" s="319" t="n">
        <x:v>510</x:v>
      </x:c>
      <x:c r="F18" s="320" t="str">
        <x:f>IF(D18="","",INDEX($L$8:$L$26,MATCH(D18,$J$8:$J$26,0)))</x:f>
        <x:v>Expense</x:v>
      </x:c>
      <x:c r="G18" s="318" t="str">
        <x:v>Need</x:v>
      </x:c>
      <x:c r="H18" s="318" t="str"/>
      <x:c r="I18" s="244"/>
      <x:c r="J18" s="252" t="str">
        <x:v>Medical / Health</x:v>
      </x:c>
      <x:c r="K18" s="252" t="str">
        <x:v>Copays, prescriptions, therapy, dental, vision, and health supplies.</x:v>
      </x:c>
      <x:c r="L18" s="252" t="str">
        <x:v>Expense</x:v>
      </x:c>
      <x:c r="M18" s="244"/>
      <x:c r="N18" s="244"/>
      <x:c r="O18" s="244"/>
      <x:c r="P18" s="244"/>
      <x:c r="Q18" s="244"/>
      <x:c r="R18" s="244"/>
      <x:c r="S18" s="244"/>
      <x:c r="T18" s="244"/>
      <x:c r="U18" s="261"/>
    </x:row>
    <x:row r="19">
      <x:c r="A19" s="3"/>
      <x:c r="B19" s="323" t="n">
        <x:v>46066</x:v>
      </x:c>
      <x:c r="C19" s="318" t="str">
        <x:v>Dog food and supplies</x:v>
      </x:c>
      <x:c r="D19" s="318" t="str">
        <x:v>Pets</x:v>
      </x:c>
      <x:c r="E19" s="319" t="n">
        <x:v>92</x:v>
      </x:c>
      <x:c r="F19" s="320" t="str">
        <x:f>IF(D19="","",INDEX($L$8:$L$26,MATCH(D19,$J$8:$J$26,0)))</x:f>
        <x:v>Expense</x:v>
      </x:c>
      <x:c r="G19" s="318" t="str">
        <x:v>Need</x:v>
      </x:c>
      <x:c r="H19" s="318" t="str"/>
      <x:c r="I19" s="244"/>
      <x:c r="J19" s="252" t="str">
        <x:v>Childcare / Family</x:v>
      </x:c>
      <x:c r="K19" s="252" t="str">
        <x:v>Daycare, babysitting, school costs, child support, or family care.</x:v>
      </x:c>
      <x:c r="L19" s="252" t="str">
        <x:v>Expense</x:v>
      </x:c>
      <x:c r="M19" s="244"/>
      <x:c r="N19" s="244"/>
      <x:c r="O19" s="244"/>
      <x:c r="P19" s="244"/>
      <x:c r="Q19" s="244"/>
      <x:c r="R19" s="244"/>
      <x:c r="S19" s="244"/>
      <x:c r="T19" s="244"/>
      <x:c r="U19" s="261"/>
    </x:row>
    <x:row r="20">
      <x:c r="A20" s="3"/>
      <x:c r="B20" s="323" t="n">
        <x:v>46073</x:v>
      </x:c>
      <x:c r="C20" s="318" t="str">
        <x:v>Debt payments</x:v>
      </x:c>
      <x:c r="D20" s="318" t="str">
        <x:v>Debt</x:v>
      </x:c>
      <x:c r="E20" s="319" t="n">
        <x:v>520</x:v>
      </x:c>
      <x:c r="F20" s="320" t="str">
        <x:f>IF(D20="","",INDEX($L$8:$L$26,MATCH(D20,$J$8:$J$26,0)))</x:f>
        <x:v>Expense</x:v>
      </x:c>
      <x:c r="G20" s="318" t="str">
        <x:v>Need</x:v>
      </x:c>
      <x:c r="H20" s="318" t="str"/>
      <x:c r="I20" s="244"/>
      <x:c r="J20" s="252" t="str">
        <x:v>Pets</x:v>
      </x:c>
      <x:c r="K20" s="252" t="str">
        <x:v>Pet food, supplies, grooming, boarding, and veterinary costs.</x:v>
      </x:c>
      <x:c r="L20" s="252" t="str">
        <x:v>Expense</x:v>
      </x:c>
      <x:c r="M20" s="244"/>
      <x:c r="N20" s="244"/>
      <x:c r="O20" s="244"/>
      <x:c r="P20" s="244"/>
      <x:c r="Q20" s="244"/>
      <x:c r="R20" s="244"/>
      <x:c r="S20" s="244"/>
      <x:c r="T20" s="244"/>
      <x:c r="U20" s="261"/>
    </x:row>
    <x:row r="21">
      <x:c r="A21" s="3"/>
      <x:c r="B21" s="323" t="n">
        <x:v>46083</x:v>
      </x:c>
      <x:c r="C21" s="318" t="str">
        <x:v>March paychecks</x:v>
      </x:c>
      <x:c r="D21" s="318" t="str">
        <x:v>Income</x:v>
      </x:c>
      <x:c r="E21" s="319" t="n">
        <x:v>4875</x:v>
      </x:c>
      <x:c r="F21" s="320" t="str">
        <x:f>IF(D21="","",INDEX($L$8:$L$26,MATCH(D21,$J$8:$J$26,0)))</x:f>
        <x:v>Income</x:v>
      </x:c>
      <x:c r="G21" s="318" t="str"/>
      <x:c r="H21" s="318" t="str">
        <x:v>Example income entry</x:v>
      </x:c>
      <x:c r="I21" s="244"/>
      <x:c r="J21" s="252" t="str">
        <x:v>Food &amp; Dining</x:v>
      </x:c>
      <x:c r="K21" s="252" t="str">
        <x:v>Restaurants, coffee, airport sandwiches, and convenience meals.</x:v>
      </x:c>
      <x:c r="L21" s="252" t="str">
        <x:v>Expense</x:v>
      </x:c>
      <x:c r="M21" s="244"/>
      <x:c r="N21" s="244"/>
      <x:c r="O21" s="244"/>
      <x:c r="P21" s="244"/>
      <x:c r="Q21" s="244"/>
      <x:c r="R21" s="244"/>
      <x:c r="S21" s="244"/>
      <x:c r="T21" s="244"/>
      <x:c r="U21" s="261"/>
    </x:row>
    <x:row r="22">
      <x:c r="A22" s="3"/>
      <x:c r="B22" s="323" t="n">
        <x:v>46084</x:v>
      </x:c>
      <x:c r="C22" s="318" t="str">
        <x:v>Rent / mortgage</x:v>
      </x:c>
      <x:c r="D22" s="318" t="str">
        <x:v>Housing</x:v>
      </x:c>
      <x:c r="E22" s="319" t="n">
        <x:v>1850</x:v>
      </x:c>
      <x:c r="F22" s="320" t="str">
        <x:f>IF(D22="","",INDEX($L$8:$L$26,MATCH(D22,$J$8:$J$26,0)))</x:f>
        <x:v>Expense</x:v>
      </x:c>
      <x:c r="G22" s="318" t="str">
        <x:v>Need</x:v>
      </x:c>
      <x:c r="H22" s="318" t="str"/>
      <x:c r="I22" s="244"/>
      <x:c r="J22" s="252" t="str">
        <x:v>Shopping / Personal</x:v>
      </x:c>
      <x:c r="K22" s="252" t="str">
        <x:v>Clothes, personal care, household shopping, and everyday wants.</x:v>
      </x:c>
      <x:c r="L22" s="252" t="str">
        <x:v>Expense</x:v>
      </x:c>
      <x:c r="M22" s="244"/>
      <x:c r="N22" s="244"/>
      <x:c r="O22" s="244"/>
      <x:c r="P22" s="244"/>
      <x:c r="Q22" s="244"/>
      <x:c r="R22" s="244"/>
      <x:c r="S22" s="244"/>
      <x:c r="T22" s="244"/>
      <x:c r="U22" s="261"/>
    </x:row>
    <x:row r="23">
      <x:c r="A23" s="3"/>
      <x:c r="B23" s="323" t="n">
        <x:v>46086</x:v>
      </x:c>
      <x:c r="C23" s="318" t="str">
        <x:v>Phone and internet</x:v>
      </x:c>
      <x:c r="D23" s="318" t="str">
        <x:v>Phone &amp; Internet</x:v>
      </x:c>
      <x:c r="E23" s="319" t="n">
        <x:v>170</x:v>
      </x:c>
      <x:c r="F23" s="320" t="str">
        <x:f>IF(D23="","",INDEX($L$8:$L$26,MATCH(D23,$J$8:$J$26,0)))</x:f>
        <x:v>Expense</x:v>
      </x:c>
      <x:c r="G23" s="318" t="str">
        <x:v>Need</x:v>
      </x:c>
      <x:c r="H23" s="318" t="str"/>
      <x:c r="I23" s="244"/>
      <x:c r="J23" s="252" t="str">
        <x:v>Entertainment</x:v>
      </x:c>
      <x:c r="K23" s="252" t="str">
        <x:v>Movies, hobbies, games, activities, and local events.</x:v>
      </x:c>
      <x:c r="L23" s="252" t="str">
        <x:v>Expense</x:v>
      </x:c>
      <x:c r="M23" s="244"/>
      <x:c r="N23" s="244"/>
      <x:c r="O23" s="244"/>
      <x:c r="P23" s="244"/>
      <x:c r="Q23" s="244"/>
      <x:c r="R23" s="244"/>
      <x:c r="S23" s="244"/>
      <x:c r="T23" s="244"/>
      <x:c r="U23" s="261"/>
    </x:row>
    <x:row r="24">
      <x:c r="A24" s="3"/>
      <x:c r="B24" s="323" t="n">
        <x:v>46092</x:v>
      </x:c>
      <x:c r="C24" s="318" t="str">
        <x:v>Gas and parking</x:v>
      </x:c>
      <x:c r="D24" s="318" t="str">
        <x:v>Transportation</x:v>
      </x:c>
      <x:c r="E24" s="319" t="n">
        <x:v>176</x:v>
      </x:c>
      <x:c r="F24" s="320" t="str">
        <x:f>IF(D24="","",INDEX($L$8:$L$26,MATCH(D24,$J$8:$J$26,0)))</x:f>
        <x:v>Expense</x:v>
      </x:c>
      <x:c r="G24" s="318" t="str">
        <x:v>Need</x:v>
      </x:c>
      <x:c r="H24" s="318" t="str"/>
      <x:c r="I24" s="244"/>
      <x:c r="J24" s="252" t="str">
        <x:v>Travel</x:v>
      </x:c>
      <x:c r="K24" s="252" t="str">
        <x:v>Flights, lodging, rental cars, and trip-related spending.</x:v>
      </x:c>
      <x:c r="L24" s="252" t="str">
        <x:v>Expense</x:v>
      </x:c>
      <x:c r="M24" s="244"/>
      <x:c r="N24" s="244"/>
      <x:c r="O24" s="244"/>
      <x:c r="P24" s="244"/>
      <x:c r="Q24" s="244"/>
      <x:c r="R24" s="244"/>
      <x:c r="S24" s="244"/>
      <x:c r="T24" s="244"/>
      <x:c r="U24" s="261"/>
    </x:row>
    <x:row r="25">
      <x:c r="A25" s="3"/>
      <x:c r="B25" s="323" t="n">
        <x:v>46096</x:v>
      </x:c>
      <x:c r="C25" s="318" t="str">
        <x:v>Airport sandwich</x:v>
      </x:c>
      <x:c r="D25" s="318" t="str">
        <x:v>Food &amp; Dining</x:v>
      </x:c>
      <x:c r="E25" s="319" t="n">
        <x:v>18</x:v>
      </x:c>
      <x:c r="F25" s="320" t="str">
        <x:f>IF(D25="","",INDEX($L$8:$L$26,MATCH(D25,$J$8:$J$26,0)))</x:f>
        <x:v>Expense</x:v>
      </x:c>
      <x:c r="G25" s="318" t="str">
        <x:v>Want</x:v>
      </x:c>
      <x:c r="H25" s="318" t="str">
        <x:v>Small leaks become visible here</x:v>
      </x:c>
      <x:c r="I25" s="244"/>
      <x:c r="J25" s="252" t="str">
        <x:v>Irregular Planned</x:v>
      </x:c>
      <x:c r="K25" s="252" t="str">
        <x:v>Expected but non-monthly costs such as gifts, annual fees, repairs, and holidays.</x:v>
      </x:c>
      <x:c r="L25" s="252" t="str">
        <x:v>Expense</x:v>
      </x:c>
      <x:c r="M25" s="244"/>
      <x:c r="N25" s="244"/>
      <x:c r="O25" s="244"/>
      <x:c r="P25" s="244"/>
      <x:c r="Q25" s="244"/>
      <x:c r="R25" s="244"/>
      <x:c r="S25" s="244"/>
      <x:c r="T25" s="244"/>
      <x:c r="U25" s="261"/>
    </x:row>
    <x:row r="26">
      <x:c r="A26" s="3"/>
      <x:c r="B26" s="323" t="n">
        <x:v>46102</x:v>
      </x:c>
      <x:c r="C26" s="318" t="str">
        <x:v>Streaming and apps</x:v>
      </x:c>
      <x:c r="D26" s="318" t="str">
        <x:v>Subscriptions</x:v>
      </x:c>
      <x:c r="E26" s="319" t="n">
        <x:v>218</x:v>
      </x:c>
      <x:c r="F26" s="320" t="str">
        <x:f>IF(D26="","",INDEX($L$8:$L$26,MATCH(D26,$J$8:$J$26,0)))</x:f>
        <x:v>Expense</x:v>
      </x:c>
      <x:c r="G26" s="318" t="str">
        <x:v>Want</x:v>
      </x:c>
      <x:c r="H26" s="318" t="str"/>
      <x:c r="I26" s="244"/>
      <x:c r="J26" s="252" t="str">
        <x:v>Miscellaneous</x:v>
      </x:c>
      <x:c r="K26" s="252" t="str">
        <x:v>Truly uncategorized small spending. Review this bucket if it grows.</x:v>
      </x:c>
      <x:c r="L26" s="252" t="str">
        <x:v>Expense</x:v>
      </x:c>
      <x:c r="M26" s="244"/>
      <x:c r="N26" s="244"/>
      <x:c r="O26" s="244"/>
      <x:c r="P26" s="244"/>
      <x:c r="Q26" s="244"/>
      <x:c r="R26" s="244"/>
      <x:c r="S26" s="244"/>
      <x:c r="T26" s="244"/>
      <x:c r="U26" s="261"/>
    </x:row>
    <x:row r="27">
      <x:c r="A27" s="3"/>
      <x:c r="B27" s="323" t="n">
        <x:v>46174</x:v>
      </x:c>
      <x:c r="C27" s="318" t="str">
        <x:v>Paycheck 1</x:v>
      </x:c>
      <x:c r="D27" s="318" t="str">
        <x:v>Income</x:v>
      </x:c>
      <x:c r="E27" s="319" t="n">
        <x:v>2450</x:v>
      </x:c>
      <x:c r="F27" s="320" t="str">
        <x:f>IF(D27="","",INDEX($L$8:$L$26,MATCH(D27,$J$8:$J$26,0)))</x:f>
        <x:v>Income</x:v>
      </x:c>
      <x:c r="G27" s="318" t="str"/>
      <x:c r="H27" s="318" t="str">
        <x:v>Example income entry</x:v>
      </x:c>
      <x:c r="I27" s="244"/>
      <x:c r="J27" s="244"/>
      <x:c r="K27" s="244"/>
      <x:c r="L27" s="244"/>
      <x:c r="M27" s="244"/>
      <x:c r="N27" s="244"/>
      <x:c r="O27" s="244"/>
      <x:c r="P27" s="244"/>
      <x:c r="Q27" s="244"/>
      <x:c r="R27" s="244"/>
      <x:c r="S27" s="244"/>
      <x:c r="T27" s="244"/>
      <x:c r="U27" s="261"/>
    </x:row>
    <x:row r="28">
      <x:c r="A28" s="3"/>
      <x:c r="B28" s="323" t="n">
        <x:v>46174</x:v>
      </x:c>
      <x:c r="C28" s="318" t="str">
        <x:v>Rent / mortgage</x:v>
      </x:c>
      <x:c r="D28" s="318" t="str">
        <x:v>Housing</x:v>
      </x:c>
      <x:c r="E28" s="319" t="n">
        <x:v>1850</x:v>
      </x:c>
      <x:c r="F28" s="320" t="str">
        <x:f>IF(D28="","",INDEX($L$8:$L$26,MATCH(D28,$J$8:$J$26,0)))</x:f>
        <x:v>Expense</x:v>
      </x:c>
      <x:c r="G28" s="318" t="str">
        <x:v>Need</x:v>
      </x:c>
      <x:c r="H28" s="318" t="str">
        <x:v>Example fixed cost</x:v>
      </x:c>
      <x:c r="I28" s="244"/>
      <x:c r="J28" s="244"/>
      <x:c r="K28" s="244"/>
      <x:c r="L28" s="244"/>
      <x:c r="M28" s="244"/>
      <x:c r="N28" s="244"/>
      <x:c r="O28" s="244"/>
      <x:c r="P28" s="244"/>
      <x:c r="Q28" s="244"/>
      <x:c r="R28" s="244"/>
      <x:c r="S28" s="244"/>
      <x:c r="T28" s="244"/>
      <x:c r="U28" s="261"/>
    </x:row>
    <x:row r="29">
      <x:c r="A29" s="3"/>
      <x:c r="B29" s="323" t="n">
        <x:v>46176</x:v>
      </x:c>
      <x:c r="C29" s="318" t="str">
        <x:v>Grocery run</x:v>
      </x:c>
      <x:c r="D29" s="318" t="str">
        <x:v>Groceries</x:v>
      </x:c>
      <x:c r="E29" s="319" t="n">
        <x:v>112</x:v>
      </x:c>
      <x:c r="F29" s="320" t="str">
        <x:f>IF(D29="","",INDEX($L$8:$L$26,MATCH(D29,$J$8:$J$26,0)))</x:f>
        <x:v>Expense</x:v>
      </x:c>
      <x:c r="G29" s="318" t="str">
        <x:v>Need</x:v>
      </x:c>
      <x:c r="H29" s="318" t="str"/>
      <x:c r="I29" s="244"/>
      <x:c r="J29" s="248" t="str">
        <x:v>What counts here</x:v>
      </x:c>
      <x:c r="K29" s="248" t="str">
        <x:v>What counts here</x:v>
      </x:c>
      <x:c r="L29" s="248" t="str">
        <x:v>What counts here</x:v>
      </x:c>
      <x:c r="M29" s="244"/>
      <x:c r="N29" s="244"/>
      <x:c r="O29" s="244"/>
      <x:c r="P29" s="244"/>
      <x:c r="Q29" s="244"/>
      <x:c r="R29" s="244"/>
      <x:c r="S29" s="244"/>
      <x:c r="T29" s="244"/>
      <x:c r="U29" s="261"/>
    </x:row>
    <x:row r="30">
      <x:c r="A30" s="3"/>
      <x:c r="B30" s="323" t="n">
        <x:v>46178</x:v>
      </x:c>
      <x:c r="C30" s="318" t="str">
        <x:v>Dog food</x:v>
      </x:c>
      <x:c r="D30" s="318" t="str">
        <x:v>Pets</x:v>
      </x:c>
      <x:c r="E30" s="319" t="n">
        <x:v>48</x:v>
      </x:c>
      <x:c r="F30" s="320" t="str">
        <x:f>IF(D30="","",INDEX($L$8:$L$26,MATCH(D30,$J$8:$J$26,0)))</x:f>
        <x:v>Expense</x:v>
      </x:c>
      <x:c r="G30" s="318" t="str">
        <x:v>Need</x:v>
      </x:c>
      <x:c r="H30" s="318" t="str">
        <x:v>This is how normal real-life spending gets captured</x:v>
      </x:c>
      <x:c r="I30" s="244"/>
      <x:c r="J30" s="250" t="str">
        <x:v>Use this for groceries, dog food, coffee, airport meals, bills paid, paychecks received, savings transfers, debt payments, and subscriptions.</x:v>
      </x:c>
      <x:c r="K30" s="250" t="str"/>
      <x:c r="L30" s="250" t="str"/>
      <x:c r="M30" s="244"/>
      <x:c r="N30" s="244"/>
      <x:c r="O30" s="244"/>
      <x:c r="P30" s="244"/>
      <x:c r="Q30" s="244"/>
      <x:c r="R30" s="244"/>
      <x:c r="S30" s="244"/>
      <x:c r="T30" s="244"/>
      <x:c r="U30" s="261"/>
    </x:row>
    <x:row r="31">
      <x:c r="A31" s="3"/>
      <x:c r="B31" s="323" t="n">
        <x:v>46181</x:v>
      </x:c>
      <x:c r="C31" s="318" t="str">
        <x:v>Airport sandwich</x:v>
      </x:c>
      <x:c r="D31" s="318" t="str">
        <x:v>Food &amp; Dining</x:v>
      </x:c>
      <x:c r="E31" s="319" t="n">
        <x:v>18</x:v>
      </x:c>
      <x:c r="F31" s="320" t="str">
        <x:f>IF(D31="","",INDEX($L$8:$L$26,MATCH(D31,$J$8:$J$26,0)))</x:f>
        <x:v>Expense</x:v>
      </x:c>
      <x:c r="G31" s="318" t="str">
        <x:v>Want</x:v>
      </x:c>
      <x:c r="H31" s="318" t="str">
        <x:v>Small leaks become visible here</x:v>
      </x:c>
      <x:c r="I31" s="244"/>
      <x:c r="J31" s="250" t="str">
        <x:v>The goal is not perfection. The goal is enough visibility to catch the leak before the next paycheck.</x:v>
      </x:c>
      <x:c r="K31" s="250" t="str"/>
      <x:c r="L31" s="250" t="str"/>
      <x:c r="M31" s="244"/>
      <x:c r="N31" s="244"/>
      <x:c r="O31" s="244"/>
      <x:c r="P31" s="244"/>
      <x:c r="Q31" s="244"/>
      <x:c r="R31" s="244"/>
      <x:c r="S31" s="244"/>
      <x:c r="T31" s="244"/>
      <x:c r="U31" s="261"/>
    </x:row>
    <x:row r="32">
      <x:c r="A32" s="3"/>
      <x:c r="B32" s="323" t="n">
        <x:v>46183</x:v>
      </x:c>
      <x:c r="C32" s="318" t="str">
        <x:v>Streaming bundle</x:v>
      </x:c>
      <x:c r="D32" s="318" t="str">
        <x:v>Subscriptions</x:v>
      </x:c>
      <x:c r="E32" s="319" t="n">
        <x:v>39</x:v>
      </x:c>
      <x:c r="F32" s="320" t="str">
        <x:f>IF(D32="","",INDEX($L$8:$L$26,MATCH(D32,$J$8:$J$26,0)))</x:f>
        <x:v>Expense</x:v>
      </x:c>
      <x:c r="G32" s="318" t="str">
        <x:v>Want</x:v>
      </x:c>
      <x:c r="H32" s="318" t="str"/>
      <x:c r="I32" s="244"/>
      <x:c r="J32" s="250" t="str">
        <x:v>If a category does not fit, use the closest category for now. The paid kit can go deeper later.</x:v>
      </x:c>
      <x:c r="K32" s="250" t="str"/>
      <x:c r="L32" s="250" t="str"/>
      <x:c r="M32" s="244"/>
      <x:c r="N32" s="244"/>
      <x:c r="O32" s="244"/>
      <x:c r="P32" s="244"/>
      <x:c r="Q32" s="244"/>
      <x:c r="R32" s="244"/>
      <x:c r="S32" s="244"/>
      <x:c r="T32" s="244"/>
      <x:c r="U32" s="261"/>
    </x:row>
    <x:row r="33">
      <x:c r="A33" s="3"/>
      <x:c r="B33" s="323" t="n">
        <x:v>46188</x:v>
      </x:c>
      <x:c r="C33" s="318" t="str">
        <x:v>Paycheck 2</x:v>
      </x:c>
      <x:c r="D33" s="318" t="str">
        <x:v>Income</x:v>
      </x:c>
      <x:c r="E33" s="319" t="n">
        <x:v>2400</x:v>
      </x:c>
      <x:c r="F33" s="320" t="str">
        <x:f>IF(D33="","",INDEX($L$8:$L$26,MATCH(D33,$J$8:$J$26,0)))</x:f>
        <x:v>Income</x:v>
      </x:c>
      <x:c r="G33" s="318" t="str"/>
      <x:c r="H33" s="318" t="str">
        <x:v>Example income entry</x:v>
      </x:c>
      <x:c r="I33" s="244"/>
      <x:c r="J33" s="244"/>
      <x:c r="K33" s="244"/>
      <x:c r="L33" s="244"/>
      <x:c r="M33" s="244"/>
      <x:c r="N33" s="244"/>
      <x:c r="O33" s="244"/>
      <x:c r="P33" s="244"/>
      <x:c r="Q33" s="244"/>
      <x:c r="R33" s="244"/>
      <x:c r="S33" s="244"/>
      <x:c r="T33" s="244"/>
      <x:c r="U33" s="261"/>
    </x:row>
    <x:row r="34">
      <x:c r="A34" s="3"/>
      <x:c r="B34" s="323" t="str"/>
      <x:c r="C34" s="318" t="str"/>
      <x:c r="D34" s="318" t="str"/>
      <x:c r="E34" s="319" t="str"/>
      <x:c r="F34" s="320" t="str">
        <x:f>IF(D34="","",INDEX($L$8:$L$26,MATCH(D34,$J$8:$J$26,0)))</x:f>
      </x:c>
      <x:c r="G34" s="318" t="str"/>
      <x:c r="H34" s="318" t="str"/>
      <x:c r="I34" s="244"/>
      <x:c r="J34" s="244"/>
      <x:c r="K34" s="244"/>
      <x:c r="L34" s="244"/>
      <x:c r="M34" s="244"/>
      <x:c r="N34" s="244"/>
      <x:c r="O34" s="244"/>
      <x:c r="P34" s="244"/>
      <x:c r="Q34" s="244"/>
      <x:c r="R34" s="244"/>
      <x:c r="S34" s="244"/>
      <x:c r="T34" s="244"/>
      <x:c r="U34" s="261"/>
    </x:row>
    <x:row r="35">
      <x:c r="A35" s="3"/>
      <x:c r="B35" s="323" t="str"/>
      <x:c r="C35" s="318" t="str"/>
      <x:c r="D35" s="318" t="str"/>
      <x:c r="E35" s="319" t="str"/>
      <x:c r="F35" s="320" t="str">
        <x:f>IF(D35="","",INDEX($L$8:$L$26,MATCH(D35,$J$8:$J$26,0)))</x:f>
      </x:c>
      <x:c r="G35" s="318" t="str"/>
      <x:c r="H35" s="318" t="str"/>
      <x:c r="I35" s="244"/>
      <x:c r="J35" s="321" t="str">
        <x:v>Daily Log controls</x:v>
      </x:c>
      <x:c r="K35" s="321" t="str">
        <x:v>Daily Log controls</x:v>
      </x:c>
      <x:c r="L35" s="321" t="str">
        <x:v>Daily Log controls</x:v>
      </x:c>
      <x:c r="M35" s="244"/>
      <x:c r="N35" s="244"/>
      <x:c r="O35" s="244"/>
      <x:c r="P35" s="244"/>
      <x:c r="Q35" s="244"/>
      <x:c r="R35" s="244"/>
      <x:c r="S35" s="244"/>
      <x:c r="T35" s="244"/>
      <x:c r="U35" s="261"/>
    </x:row>
    <x:row r="36">
      <x:c r="A36" s="3"/>
      <x:c r="B36" s="323" t="str"/>
      <x:c r="C36" s="318" t="str"/>
      <x:c r="D36" s="318" t="str"/>
      <x:c r="E36" s="319" t="str"/>
      <x:c r="F36" s="320" t="str">
        <x:f>IF(D36="","",INDEX($L$8:$L$26,MATCH(D36,$J$8:$J$26,0)))</x:f>
      </x:c>
      <x:c r="G36" s="318" t="str"/>
      <x:c r="H36" s="318" t="str"/>
      <x:c r="I36" s="244"/>
      <x:c r="J36" s="322" t="str">
        <x:v>Category</x:v>
      </x:c>
      <x:c r="K36" s="243" t="str">
        <x:v>Choose from the dropdown; the choices match the Category Guide.</x:v>
      </x:c>
      <x:c r="L36" s="243" t="str"/>
      <x:c r="M36" s="244"/>
      <x:c r="N36" s="244"/>
      <x:c r="O36" s="244"/>
      <x:c r="P36" s="244"/>
      <x:c r="Q36" s="244"/>
      <x:c r="R36" s="244"/>
      <x:c r="S36" s="244"/>
      <x:c r="T36" s="244"/>
      <x:c r="U36" s="261"/>
    </x:row>
    <x:row r="37">
      <x:c r="A37" s="3"/>
      <x:c r="B37" s="323" t="str"/>
      <x:c r="C37" s="318" t="str"/>
      <x:c r="D37" s="318" t="str"/>
      <x:c r="E37" s="319" t="str"/>
      <x:c r="F37" s="320" t="str">
        <x:f>IF(D37="","",INDEX($L$8:$L$26,MATCH(D37,$J$8:$J$26,0)))</x:f>
      </x:c>
      <x:c r="G37" s="318" t="str"/>
      <x:c r="H37" s="318" t="str"/>
      <x:c r="I37" s="244"/>
      <x:c r="J37" s="322" t="str">
        <x:v>Type</x:v>
      </x:c>
      <x:c r="K37" s="243" t="str">
        <x:v>Fills automatically as Income or Expense after Category is selected.</x:v>
      </x:c>
      <x:c r="L37" s="243" t="str"/>
      <x:c r="M37" s="244"/>
      <x:c r="N37" s="244"/>
      <x:c r="O37" s="244"/>
      <x:c r="P37" s="244"/>
      <x:c r="Q37" s="244"/>
      <x:c r="R37" s="244"/>
      <x:c r="S37" s="244"/>
      <x:c r="T37" s="244"/>
      <x:c r="U37" s="261"/>
    </x:row>
    <x:row r="38">
      <x:c r="A38" s="3"/>
      <x:c r="B38" s="323" t="str"/>
      <x:c r="C38" s="318" t="str"/>
      <x:c r="D38" s="318" t="str"/>
      <x:c r="E38" s="319" t="str"/>
      <x:c r="F38" s="320" t="str">
        <x:f>IF(D38="","",INDEX($L$8:$L$26,MATCH(D38,$J$8:$J$26,0)))</x:f>
      </x:c>
      <x:c r="G38" s="318" t="str"/>
      <x:c r="H38" s="318" t="str"/>
      <x:c r="I38" s="244"/>
      <x:c r="J38" s="322" t="str">
        <x:v>Need / Want</x:v>
      </x:c>
      <x:c r="K38" s="243" t="str">
        <x:v>Choose Need or Want from the dropdown. Leave blank for income.</x:v>
      </x:c>
      <x:c r="L38" s="243" t="str"/>
      <x:c r="M38" s="244"/>
      <x:c r="N38" s="244"/>
      <x:c r="O38" s="244"/>
      <x:c r="P38" s="244"/>
      <x:c r="Q38" s="244"/>
      <x:c r="R38" s="244"/>
      <x:c r="S38" s="244"/>
      <x:c r="T38" s="244"/>
      <x:c r="U38" s="261"/>
    </x:row>
    <x:row r="39">
      <x:c r="A39" s="3"/>
      <x:c r="B39" s="323" t="str"/>
      <x:c r="C39" s="318" t="str"/>
      <x:c r="D39" s="318" t="str"/>
      <x:c r="E39" s="319" t="str"/>
      <x:c r="F39" s="320" t="str">
        <x:f>IF(D39="","",INDEX($L$8:$L$26,MATCH(D39,$J$8:$J$26,0)))</x:f>
      </x:c>
      <x:c r="G39" s="318" t="str"/>
      <x:c r="H39" s="318" t="str"/>
      <x:c r="I39" s="244"/>
      <x:c r="J39" s="322" t="str">
        <x:v>Color key</x:v>
      </x:c>
      <x:c r="K39" s="243" t="str">
        <x:v>Blue/yellow cells are inputs. Green cells calculate automatically.</x:v>
      </x:c>
      <x:c r="L39" s="243" t="str"/>
      <x:c r="M39" s="244"/>
      <x:c r="N39" s="244"/>
      <x:c r="O39" s="244"/>
      <x:c r="P39" s="244"/>
      <x:c r="Q39" s="244"/>
      <x:c r="R39" s="244"/>
      <x:c r="S39" s="244"/>
      <x:c r="T39" s="244"/>
      <x:c r="U39" s="261"/>
    </x:row>
    <x:row r="40">
      <x:c r="A40" s="3"/>
      <x:c r="B40" s="323" t="str"/>
      <x:c r="C40" s="318" t="str"/>
      <x:c r="D40" s="318" t="str"/>
      <x:c r="E40" s="319" t="str"/>
      <x:c r="F40" s="320" t="str">
        <x:f>IF(D40="","",INDEX($L$8:$L$26,MATCH(D40,$J$8:$J$26,0)))</x:f>
      </x:c>
      <x:c r="G40" s="318" t="str"/>
      <x:c r="H40" s="318" t="str"/>
      <x:c r="I40" s="244"/>
      <x:c r="J40" s="244"/>
      <x:c r="K40" s="244"/>
      <x:c r="L40" s="244"/>
      <x:c r="M40" s="244"/>
      <x:c r="N40" s="244"/>
      <x:c r="O40" s="244"/>
      <x:c r="P40" s="244"/>
      <x:c r="Q40" s="244"/>
      <x:c r="R40" s="244"/>
      <x:c r="S40" s="244"/>
      <x:c r="T40" s="244"/>
      <x:c r="U40" s="261"/>
    </x:row>
    <x:row r="41">
      <x:c r="A41" s="3"/>
      <x:c r="B41" s="323" t="str"/>
      <x:c r="C41" s="318" t="str"/>
      <x:c r="D41" s="318" t="str"/>
      <x:c r="E41" s="319" t="str"/>
      <x:c r="F41" s="320" t="str">
        <x:f>IF(D41="","",INDEX($L$8:$L$26,MATCH(D41,$J$8:$J$26,0)))</x:f>
      </x:c>
      <x:c r="G41" s="318" t="str"/>
      <x:c r="H41" s="318" t="str"/>
      <x:c r="I41" s="244"/>
      <x:c r="J41" s="244"/>
      <x:c r="K41" s="244"/>
      <x:c r="L41" s="244"/>
      <x:c r="M41" s="244"/>
      <x:c r="N41" s="244"/>
      <x:c r="O41" s="244"/>
      <x:c r="P41" s="244"/>
      <x:c r="Q41" s="244"/>
      <x:c r="R41" s="244"/>
      <x:c r="S41" s="244"/>
      <x:c r="T41" s="244"/>
      <x:c r="U41" s="261"/>
    </x:row>
    <x:row r="42">
      <x:c r="A42" s="3"/>
      <x:c r="B42" s="323" t="str"/>
      <x:c r="C42" s="318" t="str"/>
      <x:c r="D42" s="318" t="str"/>
      <x:c r="E42" s="319" t="str"/>
      <x:c r="F42" s="320" t="str">
        <x:f>IF(D42="","",INDEX($L$8:$L$26,MATCH(D42,$J$8:$J$26,0)))</x:f>
      </x:c>
      <x:c r="G42" s="318" t="str"/>
      <x:c r="H42" s="318" t="str"/>
      <x:c r="I42" s="244"/>
      <x:c r="J42" s="244"/>
      <x:c r="K42" s="244"/>
      <x:c r="L42" s="244"/>
      <x:c r="M42" s="244"/>
      <x:c r="N42" s="244"/>
      <x:c r="O42" s="244"/>
      <x:c r="P42" s="244"/>
      <x:c r="Q42" s="244"/>
      <x:c r="R42" s="244"/>
      <x:c r="S42" s="244"/>
      <x:c r="T42" s="244"/>
      <x:c r="U42" s="261"/>
    </x:row>
    <x:row r="43">
      <x:c r="A43" s="3"/>
      <x:c r="B43" s="323" t="str"/>
      <x:c r="C43" s="318" t="str"/>
      <x:c r="D43" s="318" t="str"/>
      <x:c r="E43" s="319" t="str"/>
      <x:c r="F43" s="320" t="str">
        <x:f>IF(D43="","",INDEX($L$8:$L$26,MATCH(D43,$J$8:$J$26,0)))</x:f>
      </x:c>
      <x:c r="G43" s="318" t="str"/>
      <x:c r="H43" s="318" t="str"/>
      <x:c r="I43" s="244"/>
      <x:c r="J43" s="244"/>
      <x:c r="K43" s="244"/>
      <x:c r="L43" s="244"/>
      <x:c r="M43" s="244"/>
      <x:c r="N43" s="244"/>
      <x:c r="O43" s="244"/>
      <x:c r="P43" s="244"/>
      <x:c r="Q43" s="244"/>
      <x:c r="R43" s="244"/>
      <x:c r="S43" s="244"/>
      <x:c r="T43" s="244"/>
      <x:c r="U43" s="261"/>
    </x:row>
    <x:row r="44">
      <x:c r="A44" s="3"/>
      <x:c r="B44" s="323" t="str"/>
      <x:c r="C44" s="318" t="str"/>
      <x:c r="D44" s="318" t="str"/>
      <x:c r="E44" s="319" t="str"/>
      <x:c r="F44" s="320" t="str">
        <x:f>IF(D44="","",INDEX($L$8:$L$26,MATCH(D44,$J$8:$J$26,0)))</x:f>
      </x:c>
      <x:c r="G44" s="318" t="str"/>
      <x:c r="H44" s="318" t="str"/>
      <x:c r="I44" s="244"/>
      <x:c r="J44" s="244"/>
      <x:c r="K44" s="244"/>
      <x:c r="L44" s="244"/>
      <x:c r="M44" s="244"/>
      <x:c r="N44" s="244"/>
      <x:c r="O44" s="244"/>
      <x:c r="P44" s="244"/>
      <x:c r="Q44" s="244"/>
      <x:c r="R44" s="244"/>
      <x:c r="S44" s="244"/>
      <x:c r="T44" s="244"/>
      <x:c r="U44" s="261"/>
    </x:row>
    <x:row r="45">
      <x:c r="A45" s="3"/>
      <x:c r="B45" s="323" t="str"/>
      <x:c r="C45" s="318" t="str"/>
      <x:c r="D45" s="318" t="str"/>
      <x:c r="E45" s="319" t="str"/>
      <x:c r="F45" s="320" t="str">
        <x:f>IF(D45="","",INDEX($L$8:$L$26,MATCH(D45,$J$8:$J$26,0)))</x:f>
      </x:c>
      <x:c r="G45" s="318" t="str"/>
      <x:c r="H45" s="318" t="str"/>
      <x:c r="I45" s="244"/>
      <x:c r="J45" s="244"/>
      <x:c r="K45" s="244"/>
      <x:c r="L45" s="244"/>
      <x:c r="M45" s="244"/>
      <x:c r="N45" s="244"/>
      <x:c r="O45" s="244"/>
      <x:c r="P45" s="244"/>
      <x:c r="Q45" s="244"/>
      <x:c r="R45" s="244"/>
      <x:c r="S45" s="244"/>
      <x:c r="T45" s="244"/>
      <x:c r="U45" s="261"/>
    </x:row>
    <x:row r="46">
      <x:c r="A46" s="3"/>
      <x:c r="B46" s="323" t="str"/>
      <x:c r="C46" s="318" t="str"/>
      <x:c r="D46" s="318" t="str"/>
      <x:c r="E46" s="319" t="str"/>
      <x:c r="F46" s="320" t="str">
        <x:f>IF(D46="","",INDEX($L$8:$L$26,MATCH(D46,$J$8:$J$26,0)))</x:f>
      </x:c>
      <x:c r="G46" s="318" t="str"/>
      <x:c r="H46" s="318" t="str"/>
      <x:c r="I46" s="244"/>
      <x:c r="J46" s="244"/>
      <x:c r="K46" s="244"/>
      <x:c r="L46" s="244"/>
      <x:c r="M46" s="244"/>
      <x:c r="N46" s="244"/>
      <x:c r="O46" s="244"/>
      <x:c r="P46" s="244"/>
      <x:c r="Q46" s="244"/>
      <x:c r="R46" s="244"/>
      <x:c r="S46" s="244"/>
      <x:c r="T46" s="244"/>
      <x:c r="U46" s="261"/>
    </x:row>
    <x:row r="47">
      <x:c r="A47" s="3"/>
      <x:c r="B47" s="323" t="str"/>
      <x:c r="C47" s="318" t="str"/>
      <x:c r="D47" s="318" t="str"/>
      <x:c r="E47" s="319" t="str"/>
      <x:c r="F47" s="320" t="str">
        <x:f>IF(D47="","",INDEX($L$8:$L$26,MATCH(D47,$J$8:$J$26,0)))</x:f>
      </x:c>
      <x:c r="G47" s="318" t="str"/>
      <x:c r="H47" s="318" t="str"/>
      <x:c r="I47" s="244"/>
      <x:c r="J47" s="244"/>
      <x:c r="K47" s="244"/>
      <x:c r="L47" s="244"/>
      <x:c r="M47" s="244"/>
      <x:c r="N47" s="244"/>
      <x:c r="O47" s="244"/>
      <x:c r="P47" s="244"/>
      <x:c r="Q47" s="244"/>
      <x:c r="R47" s="244"/>
      <x:c r="S47" s="244"/>
      <x:c r="T47" s="244"/>
      <x:c r="U47" s="261"/>
    </x:row>
    <x:row r="48">
      <x:c r="A48" s="3"/>
      <x:c r="B48" s="323" t="str"/>
      <x:c r="C48" s="318" t="str"/>
      <x:c r="D48" s="318" t="str"/>
      <x:c r="E48" s="319" t="str"/>
      <x:c r="F48" s="320" t="str">
        <x:f>IF(D48="","",INDEX($L$8:$L$26,MATCH(D48,$J$8:$J$26,0)))</x:f>
      </x:c>
      <x:c r="G48" s="318" t="str"/>
      <x:c r="H48" s="318" t="str"/>
      <x:c r="I48" s="244"/>
      <x:c r="J48" s="244"/>
      <x:c r="K48" s="244"/>
      <x:c r="L48" s="244"/>
      <x:c r="M48" s="244"/>
      <x:c r="N48" s="244"/>
      <x:c r="O48" s="244"/>
      <x:c r="P48" s="244"/>
      <x:c r="Q48" s="244"/>
      <x:c r="R48" s="244"/>
      <x:c r="S48" s="244"/>
      <x:c r="T48" s="244"/>
      <x:c r="U48" s="261"/>
    </x:row>
    <x:row r="49">
      <x:c r="A49" s="3"/>
      <x:c r="B49" s="323" t="str"/>
      <x:c r="C49" s="318" t="str"/>
      <x:c r="D49" s="318" t="str"/>
      <x:c r="E49" s="319" t="str"/>
      <x:c r="F49" s="320" t="str">
        <x:f>IF(D49="","",INDEX($L$8:$L$26,MATCH(D49,$J$8:$J$26,0)))</x:f>
      </x:c>
      <x:c r="G49" s="318" t="str"/>
      <x:c r="H49" s="318" t="str"/>
      <x:c r="I49" s="244"/>
      <x:c r="J49" s="244"/>
      <x:c r="K49" s="244"/>
      <x:c r="L49" s="244"/>
      <x:c r="M49" s="244"/>
      <x:c r="N49" s="244"/>
      <x:c r="O49" s="244"/>
      <x:c r="P49" s="244"/>
      <x:c r="Q49" s="244"/>
      <x:c r="R49" s="244"/>
      <x:c r="S49" s="244"/>
      <x:c r="T49" s="244"/>
      <x:c r="U49" s="261"/>
    </x:row>
    <x:row r="50">
      <x:c r="A50" s="3"/>
      <x:c r="B50" s="323" t="str"/>
      <x:c r="C50" s="318" t="str"/>
      <x:c r="D50" s="318" t="str"/>
      <x:c r="E50" s="319" t="str"/>
      <x:c r="F50" s="320" t="str">
        <x:f>IF(D50="","",INDEX($L$8:$L$26,MATCH(D50,$J$8:$J$26,0)))</x:f>
      </x:c>
      <x:c r="G50" s="318" t="str"/>
      <x:c r="H50" s="318" t="str"/>
      <x:c r="I50" s="244"/>
      <x:c r="J50" s="244"/>
      <x:c r="K50" s="244"/>
      <x:c r="L50" s="244"/>
      <x:c r="M50" s="244"/>
      <x:c r="N50" s="244"/>
      <x:c r="O50" s="244"/>
      <x:c r="P50" s="244"/>
      <x:c r="Q50" s="244"/>
      <x:c r="R50" s="244"/>
      <x:c r="S50" s="244"/>
      <x:c r="T50" s="244"/>
      <x:c r="U50" s="261"/>
    </x:row>
    <x:row r="51">
      <x:c r="A51" s="3"/>
      <x:c r="B51" s="323" t="str"/>
      <x:c r="C51" s="318" t="str"/>
      <x:c r="D51" s="318" t="str"/>
      <x:c r="E51" s="319" t="str"/>
      <x:c r="F51" s="320" t="str">
        <x:f>IF(D51="","",INDEX($L$8:$L$26,MATCH(D51,$J$8:$J$26,0)))</x:f>
      </x:c>
      <x:c r="G51" s="318" t="str"/>
      <x:c r="H51" s="318" t="str"/>
      <x:c r="I51" s="244"/>
      <x:c r="J51" s="244"/>
      <x:c r="K51" s="244"/>
      <x:c r="L51" s="244"/>
      <x:c r="M51" s="244"/>
      <x:c r="N51" s="244"/>
      <x:c r="O51" s="244"/>
      <x:c r="P51" s="244"/>
      <x:c r="Q51" s="244"/>
      <x:c r="R51" s="244"/>
      <x:c r="S51" s="244"/>
      <x:c r="T51" s="244"/>
      <x:c r="U51" s="261"/>
    </x:row>
    <x:row r="52">
      <x:c r="A52" s="3"/>
      <x:c r="B52" s="323" t="str"/>
      <x:c r="C52" s="318" t="str"/>
      <x:c r="D52" s="318" t="str"/>
      <x:c r="E52" s="319" t="str"/>
      <x:c r="F52" s="320" t="str">
        <x:f>IF(D52="","",INDEX($L$8:$L$26,MATCH(D52,$J$8:$J$26,0)))</x:f>
      </x:c>
      <x:c r="G52" s="318" t="str"/>
      <x:c r="H52" s="318" t="str"/>
      <x:c r="I52" s="244"/>
      <x:c r="J52" s="244"/>
      <x:c r="K52" s="244"/>
      <x:c r="L52" s="244"/>
      <x:c r="M52" s="244"/>
      <x:c r="N52" s="244"/>
      <x:c r="O52" s="244"/>
      <x:c r="P52" s="244"/>
      <x:c r="Q52" s="244"/>
      <x:c r="R52" s="244"/>
      <x:c r="S52" s="244"/>
      <x:c r="T52" s="244"/>
      <x:c r="U52" s="261"/>
    </x:row>
    <x:row r="53">
      <x:c r="A53" s="3"/>
      <x:c r="B53" s="323" t="str"/>
      <x:c r="C53" s="318" t="str"/>
      <x:c r="D53" s="318" t="str"/>
      <x:c r="E53" s="319" t="str"/>
      <x:c r="F53" s="320" t="str">
        <x:f>IF(D53="","",INDEX($L$8:$L$26,MATCH(D53,$J$8:$J$26,0)))</x:f>
      </x:c>
      <x:c r="G53" s="318" t="str"/>
      <x:c r="H53" s="318" t="str"/>
      <x:c r="I53" s="244"/>
      <x:c r="J53" s="244"/>
      <x:c r="K53" s="244"/>
      <x:c r="L53" s="244"/>
      <x:c r="M53" s="244"/>
      <x:c r="N53" s="244"/>
      <x:c r="O53" s="244"/>
      <x:c r="P53" s="244"/>
      <x:c r="Q53" s="244"/>
      <x:c r="R53" s="244"/>
      <x:c r="S53" s="244"/>
      <x:c r="T53" s="244"/>
      <x:c r="U53" s="261"/>
    </x:row>
    <x:row r="54">
      <x:c r="A54" s="3"/>
      <x:c r="B54" s="323" t="str"/>
      <x:c r="C54" s="318" t="str"/>
      <x:c r="D54" s="318" t="str"/>
      <x:c r="E54" s="319" t="str"/>
      <x:c r="F54" s="320" t="str">
        <x:f>IF(D54="","",INDEX($L$8:$L$26,MATCH(D54,$J$8:$J$26,0)))</x:f>
      </x:c>
      <x:c r="G54" s="318" t="str"/>
      <x:c r="H54" s="318" t="str"/>
      <x:c r="I54" s="244"/>
      <x:c r="J54" s="244"/>
      <x:c r="K54" s="244"/>
      <x:c r="L54" s="244"/>
      <x:c r="M54" s="244"/>
      <x:c r="N54" s="244"/>
      <x:c r="O54" s="244"/>
      <x:c r="P54" s="244"/>
      <x:c r="Q54" s="244"/>
      <x:c r="R54" s="244"/>
      <x:c r="S54" s="244"/>
      <x:c r="T54" s="244"/>
      <x:c r="U54" s="261"/>
    </x:row>
    <x:row r="55">
      <x:c r="A55" s="3"/>
      <x:c r="B55" s="323" t="str"/>
      <x:c r="C55" s="318" t="str"/>
      <x:c r="D55" s="318" t="str"/>
      <x:c r="E55" s="319" t="str"/>
      <x:c r="F55" s="320" t="str">
        <x:f>IF(D55="","",INDEX($L$8:$L$26,MATCH(D55,$J$8:$J$26,0)))</x:f>
      </x:c>
      <x:c r="G55" s="318" t="str"/>
      <x:c r="H55" s="318" t="str"/>
      <x:c r="I55" s="244"/>
      <x:c r="J55" s="244"/>
      <x:c r="K55" s="244"/>
      <x:c r="L55" s="244"/>
      <x:c r="M55" s="244"/>
      <x:c r="N55" s="244"/>
      <x:c r="O55" s="244"/>
      <x:c r="P55" s="244"/>
      <x:c r="Q55" s="244"/>
      <x:c r="R55" s="244"/>
      <x:c r="S55" s="244"/>
      <x:c r="T55" s="244"/>
      <x:c r="U55" s="261"/>
    </x:row>
    <x:row r="56">
      <x:c r="A56" s="3"/>
      <x:c r="B56" s="323" t="str"/>
      <x:c r="C56" s="318" t="str"/>
      <x:c r="D56" s="318" t="str"/>
      <x:c r="E56" s="319" t="str"/>
      <x:c r="F56" s="320" t="str">
        <x:f>IF(D56="","",INDEX($L$8:$L$26,MATCH(D56,$J$8:$J$26,0)))</x:f>
      </x:c>
      <x:c r="G56" s="318" t="str"/>
      <x:c r="H56" s="318" t="str"/>
      <x:c r="I56" s="244"/>
      <x:c r="J56" s="244"/>
      <x:c r="K56" s="244"/>
      <x:c r="L56" s="244"/>
      <x:c r="M56" s="244"/>
      <x:c r="N56" s="244"/>
      <x:c r="O56" s="244"/>
      <x:c r="P56" s="244"/>
      <x:c r="Q56" s="244"/>
      <x:c r="R56" s="244"/>
      <x:c r="S56" s="244"/>
      <x:c r="T56" s="244"/>
      <x:c r="U56" s="261"/>
    </x:row>
    <x:row r="57">
      <x:c r="A57" s="3"/>
      <x:c r="B57" s="323" t="str"/>
      <x:c r="C57" s="318" t="str"/>
      <x:c r="D57" s="318" t="str"/>
      <x:c r="E57" s="319" t="str"/>
      <x:c r="F57" s="320" t="str">
        <x:f>IF(D57="","",INDEX($L$8:$L$26,MATCH(D57,$J$8:$J$26,0)))</x:f>
      </x:c>
      <x:c r="G57" s="318" t="str"/>
      <x:c r="H57" s="318" t="str"/>
      <x:c r="I57" s="244"/>
      <x:c r="J57" s="244"/>
      <x:c r="K57" s="244"/>
      <x:c r="L57" s="244"/>
      <x:c r="M57" s="244"/>
      <x:c r="N57" s="244"/>
      <x:c r="O57" s="244"/>
      <x:c r="P57" s="244"/>
      <x:c r="Q57" s="244"/>
      <x:c r="R57" s="244"/>
      <x:c r="S57" s="244"/>
      <x:c r="T57" s="244"/>
      <x:c r="U57" s="261"/>
    </x:row>
    <x:row r="58">
      <x:c r="A58" s="3"/>
      <x:c r="B58" s="323" t="str"/>
      <x:c r="C58" s="318" t="str"/>
      <x:c r="D58" s="318" t="str"/>
      <x:c r="E58" s="319" t="str"/>
      <x:c r="F58" s="320" t="str">
        <x:f>IF(D58="","",INDEX($L$8:$L$26,MATCH(D58,$J$8:$J$26,0)))</x:f>
      </x:c>
      <x:c r="G58" s="318" t="str"/>
      <x:c r="H58" s="318" t="str"/>
      <x:c r="I58" s="244"/>
      <x:c r="J58" s="244"/>
      <x:c r="K58" s="244"/>
      <x:c r="L58" s="244"/>
      <x:c r="M58" s="244"/>
      <x:c r="N58" s="244"/>
      <x:c r="O58" s="244"/>
      <x:c r="P58" s="244"/>
      <x:c r="Q58" s="244"/>
      <x:c r="R58" s="244"/>
      <x:c r="S58" s="244"/>
      <x:c r="T58" s="244"/>
      <x:c r="U58" s="261"/>
    </x:row>
    <x:row r="59">
      <x:c r="A59" s="3"/>
      <x:c r="B59" s="323" t="str"/>
      <x:c r="C59" s="318" t="str"/>
      <x:c r="D59" s="318" t="str"/>
      <x:c r="E59" s="319" t="str"/>
      <x:c r="F59" s="320" t="str">
        <x:f>IF(D59="","",INDEX($L$8:$L$26,MATCH(D59,$J$8:$J$26,0)))</x:f>
      </x:c>
      <x:c r="G59" s="318" t="str"/>
      <x:c r="H59" s="318" t="str"/>
      <x:c r="I59" s="244"/>
      <x:c r="J59" s="244"/>
      <x:c r="K59" s="244"/>
      <x:c r="L59" s="244"/>
      <x:c r="M59" s="244"/>
      <x:c r="N59" s="244"/>
      <x:c r="O59" s="244"/>
      <x:c r="P59" s="244"/>
      <x:c r="Q59" s="244"/>
      <x:c r="R59" s="244"/>
      <x:c r="S59" s="244"/>
      <x:c r="T59" s="244"/>
      <x:c r="U59" s="261"/>
    </x:row>
    <x:row r="60">
      <x:c r="A60" s="3"/>
      <x:c r="B60" s="323" t="str"/>
      <x:c r="C60" s="318" t="str"/>
      <x:c r="D60" s="318" t="str"/>
      <x:c r="E60" s="319" t="str"/>
      <x:c r="F60" s="320" t="str">
        <x:f>IF(D60="","",INDEX($L$8:$L$26,MATCH(D60,$J$8:$J$26,0)))</x:f>
      </x:c>
      <x:c r="G60" s="318" t="str"/>
      <x:c r="H60" s="318" t="str"/>
      <x:c r="I60" s="244"/>
      <x:c r="J60" s="244"/>
      <x:c r="K60" s="244"/>
      <x:c r="L60" s="244"/>
      <x:c r="M60" s="244"/>
      <x:c r="N60" s="244"/>
      <x:c r="O60" s="244"/>
      <x:c r="P60" s="244"/>
      <x:c r="Q60" s="244"/>
      <x:c r="R60" s="244"/>
      <x:c r="S60" s="244"/>
      <x:c r="T60" s="244"/>
      <x:c r="U60" s="261"/>
    </x:row>
    <x:row r="61">
      <x:c r="A61" s="3"/>
      <x:c r="B61" s="323" t="str"/>
      <x:c r="C61" s="318" t="str"/>
      <x:c r="D61" s="318" t="str"/>
      <x:c r="E61" s="319" t="str"/>
      <x:c r="F61" s="320" t="str">
        <x:f>IF(D61="","",INDEX($L$8:$L$26,MATCH(D61,$J$8:$J$26,0)))</x:f>
      </x:c>
      <x:c r="G61" s="318" t="str"/>
      <x:c r="H61" s="318" t="str"/>
      <x:c r="I61" s="244"/>
      <x:c r="J61" s="244"/>
      <x:c r="K61" s="244"/>
      <x:c r="L61" s="244"/>
      <x:c r="M61" s="244"/>
      <x:c r="N61" s="244"/>
      <x:c r="O61" s="244"/>
      <x:c r="P61" s="244"/>
      <x:c r="Q61" s="244"/>
      <x:c r="R61" s="244"/>
      <x:c r="S61" s="244"/>
      <x:c r="T61" s="244"/>
      <x:c r="U61" s="261"/>
    </x:row>
    <x:row r="62">
      <x:c r="A62" s="3"/>
      <x:c r="B62" s="323" t="str"/>
      <x:c r="C62" s="318" t="str"/>
      <x:c r="D62" s="318" t="str"/>
      <x:c r="E62" s="319" t="str"/>
      <x:c r="F62" s="320" t="str">
        <x:f>IF(D62="","",INDEX($L$8:$L$26,MATCH(D62,$J$8:$J$26,0)))</x:f>
      </x:c>
      <x:c r="G62" s="318" t="str"/>
      <x:c r="H62" s="318" t="str"/>
      <x:c r="I62" s="244"/>
      <x:c r="J62" s="244"/>
      <x:c r="K62" s="244"/>
      <x:c r="L62" s="244"/>
      <x:c r="M62" s="244"/>
      <x:c r="N62" s="244"/>
      <x:c r="O62" s="244"/>
      <x:c r="P62" s="244"/>
      <x:c r="Q62" s="244"/>
      <x:c r="R62" s="244"/>
      <x:c r="S62" s="244"/>
      <x:c r="T62" s="244"/>
      <x:c r="U62" s="261"/>
    </x:row>
    <x:row r="63">
      <x:c r="A63" s="3"/>
      <x:c r="B63" s="323" t="str"/>
      <x:c r="C63" s="318" t="str"/>
      <x:c r="D63" s="318" t="str"/>
      <x:c r="E63" s="319" t="str"/>
      <x:c r="F63" s="320" t="str">
        <x:f>IF(D63="","",INDEX($L$8:$L$26,MATCH(D63,$J$8:$J$26,0)))</x:f>
      </x:c>
      <x:c r="G63" s="318" t="str"/>
      <x:c r="H63" s="318" t="str"/>
      <x:c r="I63" s="244"/>
      <x:c r="J63" s="244"/>
      <x:c r="K63" s="244"/>
      <x:c r="L63" s="244"/>
      <x:c r="M63" s="244"/>
      <x:c r="N63" s="244"/>
      <x:c r="O63" s="244"/>
      <x:c r="P63" s="244"/>
      <x:c r="Q63" s="244"/>
      <x:c r="R63" s="244"/>
      <x:c r="S63" s="244"/>
      <x:c r="T63" s="244"/>
      <x:c r="U63" s="261"/>
    </x:row>
    <x:row r="64">
      <x:c r="A64" s="3"/>
      <x:c r="B64" s="323" t="str"/>
      <x:c r="C64" s="318" t="str"/>
      <x:c r="D64" s="318" t="str"/>
      <x:c r="E64" s="319" t="str"/>
      <x:c r="F64" s="320" t="str">
        <x:f>IF(D64="","",INDEX($L$8:$L$26,MATCH(D64,$J$8:$J$26,0)))</x:f>
      </x:c>
      <x:c r="G64" s="318" t="str"/>
      <x:c r="H64" s="318" t="str"/>
      <x:c r="I64" s="244"/>
      <x:c r="J64" s="244"/>
      <x:c r="K64" s="244"/>
      <x:c r="L64" s="244"/>
      <x:c r="M64" s="244"/>
      <x:c r="N64" s="244"/>
      <x:c r="O64" s="244"/>
      <x:c r="P64" s="244"/>
      <x:c r="Q64" s="244"/>
      <x:c r="R64" s="244"/>
      <x:c r="S64" s="244"/>
      <x:c r="T64" s="244"/>
      <x:c r="U64" s="261"/>
    </x:row>
    <x:row r="65">
      <x:c r="A65" s="3"/>
      <x:c r="B65" s="323" t="str"/>
      <x:c r="C65" s="318" t="str"/>
      <x:c r="D65" s="318" t="str"/>
      <x:c r="E65" s="319" t="str"/>
      <x:c r="F65" s="320" t="str">
        <x:f>IF(D65="","",INDEX($L$8:$L$26,MATCH(D65,$J$8:$J$26,0)))</x:f>
      </x:c>
      <x:c r="G65" s="318" t="str"/>
      <x:c r="H65" s="318" t="str"/>
      <x:c r="I65" s="244"/>
      <x:c r="J65" s="244"/>
      <x:c r="K65" s="244"/>
      <x:c r="L65" s="244"/>
      <x:c r="M65" s="244"/>
      <x:c r="N65" s="244"/>
      <x:c r="O65" s="244"/>
      <x:c r="P65" s="244"/>
      <x:c r="Q65" s="244"/>
      <x:c r="R65" s="244"/>
      <x:c r="S65" s="244"/>
      <x:c r="T65" s="244"/>
      <x:c r="U65" s="261"/>
    </x:row>
    <x:row r="66">
      <x:c r="A66" s="3"/>
      <x:c r="B66" s="323" t="str"/>
      <x:c r="C66" s="318" t="str"/>
      <x:c r="D66" s="318" t="str"/>
      <x:c r="E66" s="319" t="str"/>
      <x:c r="F66" s="320" t="str">
        <x:f>IF(D66="","",INDEX($L$8:$L$26,MATCH(D66,$J$8:$J$26,0)))</x:f>
      </x:c>
      <x:c r="G66" s="318" t="str"/>
      <x:c r="H66" s="318" t="str"/>
      <x:c r="I66" s="244"/>
      <x:c r="J66" s="244"/>
      <x:c r="K66" s="244"/>
      <x:c r="L66" s="244"/>
      <x:c r="M66" s="244"/>
      <x:c r="N66" s="244"/>
      <x:c r="O66" s="244"/>
      <x:c r="P66" s="244"/>
      <x:c r="Q66" s="244"/>
      <x:c r="R66" s="244"/>
      <x:c r="S66" s="244"/>
      <x:c r="T66" s="244"/>
      <x:c r="U66" s="261"/>
    </x:row>
    <x:row r="67">
      <x:c r="A67" s="3"/>
      <x:c r="B67" s="323" t="str"/>
      <x:c r="C67" s="318" t="str"/>
      <x:c r="D67" s="318" t="str"/>
      <x:c r="E67" s="319" t="str"/>
      <x:c r="F67" s="320" t="str">
        <x:f>IF(D67="","",INDEX($L$8:$L$26,MATCH(D67,$J$8:$J$26,0)))</x:f>
      </x:c>
      <x:c r="G67" s="318" t="str"/>
      <x:c r="H67" s="318" t="str"/>
      <x:c r="I67" s="244"/>
      <x:c r="J67" s="244"/>
      <x:c r="K67" s="244"/>
      <x:c r="L67" s="244"/>
      <x:c r="M67" s="244"/>
      <x:c r="N67" s="244"/>
      <x:c r="O67" s="244"/>
      <x:c r="P67" s="244"/>
      <x:c r="Q67" s="244"/>
      <x:c r="R67" s="244"/>
      <x:c r="S67" s="244"/>
      <x:c r="T67" s="244"/>
      <x:c r="U67" s="261"/>
    </x:row>
    <x:row r="68">
      <x:c r="A68" s="3"/>
      <x:c r="B68" s="323" t="str"/>
      <x:c r="C68" s="318" t="str"/>
      <x:c r="D68" s="318" t="str"/>
      <x:c r="E68" s="319" t="str"/>
      <x:c r="F68" s="320" t="str">
        <x:f>IF(D68="","",INDEX($L$8:$L$26,MATCH(D68,$J$8:$J$26,0)))</x:f>
      </x:c>
      <x:c r="G68" s="318" t="str"/>
      <x:c r="H68" s="318" t="str"/>
      <x:c r="I68" s="244"/>
      <x:c r="J68" s="244"/>
      <x:c r="K68" s="244"/>
      <x:c r="L68" s="244"/>
      <x:c r="M68" s="244"/>
      <x:c r="N68" s="244"/>
      <x:c r="O68" s="244"/>
      <x:c r="P68" s="244"/>
      <x:c r="Q68" s="244"/>
      <x:c r="R68" s="244"/>
      <x:c r="S68" s="244"/>
      <x:c r="T68" s="244"/>
      <x:c r="U68" s="261"/>
    </x:row>
    <x:row r="69">
      <x:c r="A69" s="3"/>
      <x:c r="B69" s="323" t="str"/>
      <x:c r="C69" s="318" t="str"/>
      <x:c r="D69" s="318" t="str"/>
      <x:c r="E69" s="319" t="str"/>
      <x:c r="F69" s="320" t="str">
        <x:f>IF(D69="","",INDEX($L$8:$L$26,MATCH(D69,$J$8:$J$26,0)))</x:f>
      </x:c>
      <x:c r="G69" s="318" t="str"/>
      <x:c r="H69" s="318" t="str"/>
      <x:c r="I69" s="244"/>
      <x:c r="J69" s="244"/>
      <x:c r="K69" s="244"/>
      <x:c r="L69" s="244"/>
      <x:c r="M69" s="244"/>
      <x:c r="N69" s="244"/>
      <x:c r="O69" s="244"/>
      <x:c r="P69" s="244"/>
      <x:c r="Q69" s="244"/>
      <x:c r="R69" s="244"/>
      <x:c r="S69" s="244"/>
      <x:c r="T69" s="244"/>
      <x:c r="U69" s="261"/>
    </x:row>
    <x:row r="70">
      <x:c r="A70" s="3"/>
      <x:c r="B70" s="323" t="str"/>
      <x:c r="C70" s="318" t="str"/>
      <x:c r="D70" s="318" t="str"/>
      <x:c r="E70" s="319" t="str"/>
      <x:c r="F70" s="320" t="str">
        <x:f>IF(D70="","",INDEX($L$8:$L$26,MATCH(D70,$J$8:$J$26,0)))</x:f>
      </x:c>
      <x:c r="G70" s="318" t="str"/>
      <x:c r="H70" s="318" t="str"/>
      <x:c r="I70" s="244"/>
      <x:c r="J70" s="244"/>
      <x:c r="K70" s="244"/>
      <x:c r="L70" s="244"/>
      <x:c r="M70" s="244"/>
      <x:c r="N70" s="244"/>
      <x:c r="O70" s="244"/>
      <x:c r="P70" s="244"/>
      <x:c r="Q70" s="244"/>
      <x:c r="R70" s="244"/>
      <x:c r="S70" s="244"/>
      <x:c r="T70" s="244"/>
      <x:c r="U70" s="261"/>
    </x:row>
    <x:row r="71">
      <x:c r="A71" s="3"/>
      <x:c r="B71" s="323" t="str"/>
      <x:c r="C71" s="318" t="str"/>
      <x:c r="D71" s="318" t="str"/>
      <x:c r="E71" s="319" t="str"/>
      <x:c r="F71" s="320" t="str">
        <x:f>IF(D71="","",INDEX($L$8:$L$26,MATCH(D71,$J$8:$J$26,0)))</x:f>
      </x:c>
      <x:c r="G71" s="318" t="str"/>
      <x:c r="H71" s="318" t="str"/>
      <x:c r="I71" s="244"/>
      <x:c r="J71" s="244"/>
      <x:c r="K71" s="244"/>
      <x:c r="L71" s="244"/>
      <x:c r="M71" s="244"/>
      <x:c r="N71" s="244"/>
      <x:c r="O71" s="244"/>
      <x:c r="P71" s="244"/>
      <x:c r="Q71" s="244"/>
      <x:c r="R71" s="244"/>
      <x:c r="S71" s="244"/>
      <x:c r="T71" s="244"/>
      <x:c r="U71" s="261"/>
    </x:row>
    <x:row r="72">
      <x:c r="A72" s="3"/>
      <x:c r="B72" s="323" t="str"/>
      <x:c r="C72" s="318" t="str"/>
      <x:c r="D72" s="318" t="str"/>
      <x:c r="E72" s="319" t="str"/>
      <x:c r="F72" s="320" t="str">
        <x:f>IF(D72="","",INDEX($L$8:$L$26,MATCH(D72,$J$8:$J$26,0)))</x:f>
      </x:c>
      <x:c r="G72" s="318" t="str"/>
      <x:c r="H72" s="318" t="str"/>
      <x:c r="I72" s="244"/>
      <x:c r="J72" s="244"/>
      <x:c r="K72" s="244"/>
      <x:c r="L72" s="244"/>
      <x:c r="M72" s="244"/>
      <x:c r="N72" s="244"/>
      <x:c r="O72" s="244"/>
      <x:c r="P72" s="244"/>
      <x:c r="Q72" s="244"/>
      <x:c r="R72" s="244"/>
      <x:c r="S72" s="244"/>
      <x:c r="T72" s="244"/>
      <x:c r="U72" s="261"/>
    </x:row>
    <x:row r="73">
      <x:c r="A73" s="3"/>
      <x:c r="B73" s="323" t="str"/>
      <x:c r="C73" s="318" t="str"/>
      <x:c r="D73" s="318" t="str"/>
      <x:c r="E73" s="319" t="str"/>
      <x:c r="F73" s="320" t="str">
        <x:f>IF(D73="","",INDEX($L$8:$L$26,MATCH(D73,$J$8:$J$26,0)))</x:f>
      </x:c>
      <x:c r="G73" s="318" t="str"/>
      <x:c r="H73" s="318" t="str"/>
      <x:c r="I73" s="244"/>
      <x:c r="J73" s="244"/>
      <x:c r="K73" s="244"/>
      <x:c r="L73" s="244"/>
      <x:c r="M73" s="244"/>
      <x:c r="N73" s="244"/>
      <x:c r="O73" s="244"/>
      <x:c r="P73" s="244"/>
      <x:c r="Q73" s="244"/>
      <x:c r="R73" s="244"/>
      <x:c r="S73" s="244"/>
      <x:c r="T73" s="244"/>
      <x:c r="U73" s="261"/>
    </x:row>
    <x:row r="74">
      <x:c r="A74" s="3"/>
      <x:c r="B74" s="323" t="str"/>
      <x:c r="C74" s="318" t="str"/>
      <x:c r="D74" s="318" t="str"/>
      <x:c r="E74" s="319" t="str"/>
      <x:c r="F74" s="320" t="str">
        <x:f>IF(D74="","",INDEX($L$8:$L$26,MATCH(D74,$J$8:$J$26,0)))</x:f>
      </x:c>
      <x:c r="G74" s="318" t="str"/>
      <x:c r="H74" s="318" t="str"/>
      <x:c r="I74" s="244"/>
      <x:c r="J74" s="244"/>
      <x:c r="K74" s="244"/>
      <x:c r="L74" s="244"/>
      <x:c r="M74" s="244"/>
      <x:c r="N74" s="244"/>
      <x:c r="O74" s="244"/>
      <x:c r="P74" s="244"/>
      <x:c r="Q74" s="244"/>
      <x:c r="R74" s="244"/>
      <x:c r="S74" s="244"/>
      <x:c r="T74" s="244"/>
      <x:c r="U74" s="261"/>
    </x:row>
    <x:row r="75">
      <x:c r="A75" s="3"/>
      <x:c r="B75" s="323" t="str"/>
      <x:c r="C75" s="318" t="str"/>
      <x:c r="D75" s="318" t="str"/>
      <x:c r="E75" s="319" t="str"/>
      <x:c r="F75" s="320" t="str">
        <x:f>IF(D75="","",INDEX($L$8:$L$26,MATCH(D75,$J$8:$J$26,0)))</x:f>
      </x:c>
      <x:c r="G75" s="318" t="str"/>
      <x:c r="H75" s="318" t="str"/>
      <x:c r="I75" s="244"/>
      <x:c r="J75" s="244"/>
      <x:c r="K75" s="244"/>
      <x:c r="L75" s="244"/>
      <x:c r="M75" s="244"/>
      <x:c r="N75" s="244"/>
      <x:c r="O75" s="244"/>
      <x:c r="P75" s="244"/>
      <x:c r="Q75" s="244"/>
      <x:c r="R75" s="244"/>
      <x:c r="S75" s="244"/>
      <x:c r="T75" s="244"/>
      <x:c r="U75" s="261"/>
    </x:row>
    <x:row r="76">
      <x:c r="A76" s="3"/>
      <x:c r="B76" s="323" t="str"/>
      <x:c r="C76" s="318" t="str"/>
      <x:c r="D76" s="318" t="str"/>
      <x:c r="E76" s="319" t="str"/>
      <x:c r="F76" s="320" t="str">
        <x:f>IF(D76="","",INDEX($L$8:$L$26,MATCH(D76,$J$8:$J$26,0)))</x:f>
      </x:c>
      <x:c r="G76" s="318" t="str"/>
      <x:c r="H76" s="318" t="str"/>
      <x:c r="I76" s="244"/>
      <x:c r="J76" s="244"/>
      <x:c r="K76" s="244"/>
      <x:c r="L76" s="244"/>
      <x:c r="M76" s="244"/>
      <x:c r="N76" s="244"/>
      <x:c r="O76" s="244"/>
      <x:c r="P76" s="244"/>
      <x:c r="Q76" s="244"/>
      <x:c r="R76" s="244"/>
      <x:c r="S76" s="244"/>
      <x:c r="T76" s="244"/>
      <x:c r="U76" s="261"/>
    </x:row>
    <x:row r="77">
      <x:c r="A77" s="3"/>
      <x:c r="B77" s="323" t="str"/>
      <x:c r="C77" s="318" t="str"/>
      <x:c r="D77" s="318" t="str"/>
      <x:c r="E77" s="319" t="str"/>
      <x:c r="F77" s="320" t="str">
        <x:f>IF(D77="","",INDEX($L$8:$L$26,MATCH(D77,$J$8:$J$26,0)))</x:f>
      </x:c>
      <x:c r="G77" s="318" t="str"/>
      <x:c r="H77" s="318" t="str"/>
      <x:c r="I77" s="244"/>
      <x:c r="J77" s="244"/>
      <x:c r="K77" s="244"/>
      <x:c r="L77" s="244"/>
      <x:c r="M77" s="244"/>
      <x:c r="N77" s="244"/>
      <x:c r="O77" s="244"/>
      <x:c r="P77" s="244"/>
      <x:c r="Q77" s="244"/>
      <x:c r="R77" s="244"/>
      <x:c r="S77" s="244"/>
      <x:c r="T77" s="244"/>
      <x:c r="U77" s="261"/>
    </x:row>
    <x:row r="78">
      <x:c r="A78" s="3"/>
      <x:c r="B78" s="323" t="str"/>
      <x:c r="C78" s="318" t="str"/>
      <x:c r="D78" s="318" t="str"/>
      <x:c r="E78" s="319" t="str"/>
      <x:c r="F78" s="320" t="str">
        <x:f>IF(D78="","",INDEX($L$8:$L$26,MATCH(D78,$J$8:$J$26,0)))</x:f>
      </x:c>
      <x:c r="G78" s="318" t="str"/>
      <x:c r="H78" s="318" t="str"/>
      <x:c r="I78" s="244"/>
      <x:c r="J78" s="244"/>
      <x:c r="K78" s="244"/>
      <x:c r="L78" s="244"/>
      <x:c r="M78" s="244"/>
      <x:c r="N78" s="244"/>
      <x:c r="O78" s="244"/>
      <x:c r="P78" s="244"/>
      <x:c r="Q78" s="244"/>
      <x:c r="R78" s="244"/>
      <x:c r="S78" s="244"/>
      <x:c r="T78" s="244"/>
      <x:c r="U78" s="261"/>
    </x:row>
    <x:row r="79">
      <x:c r="A79" s="3"/>
      <x:c r="B79" s="323" t="str"/>
      <x:c r="C79" s="318" t="str"/>
      <x:c r="D79" s="318" t="str"/>
      <x:c r="E79" s="319" t="str"/>
      <x:c r="F79" s="320" t="str">
        <x:f>IF(D79="","",INDEX($L$8:$L$26,MATCH(D79,$J$8:$J$26,0)))</x:f>
      </x:c>
      <x:c r="G79" s="318" t="str"/>
      <x:c r="H79" s="318" t="str"/>
      <x:c r="I79" s="244"/>
      <x:c r="J79" s="244"/>
      <x:c r="K79" s="244"/>
      <x:c r="L79" s="244"/>
      <x:c r="M79" s="244"/>
      <x:c r="N79" s="244"/>
      <x:c r="O79" s="244"/>
      <x:c r="P79" s="244"/>
      <x:c r="Q79" s="244"/>
      <x:c r="R79" s="244"/>
      <x:c r="S79" s="244"/>
      <x:c r="T79" s="244"/>
      <x:c r="U79" s="261"/>
    </x:row>
    <x:row r="80">
      <x:c r="A80" s="3"/>
      <x:c r="B80" s="262"/>
      <x:c r="C80" s="244"/>
      <x:c r="D80" s="244"/>
      <x:c r="E80" s="244"/>
      <x:c r="F80" s="244"/>
      <x:c r="G80" s="244"/>
      <x:c r="H80" s="244"/>
      <x:c r="I80" s="244"/>
      <x:c r="J80" s="244"/>
      <x:c r="K80" s="244"/>
      <x:c r="L80" s="244"/>
      <x:c r="M80" s="244"/>
      <x:c r="N80" s="244"/>
      <x:c r="O80" s="244"/>
      <x:c r="P80" s="244"/>
      <x:c r="Q80" s="244"/>
      <x:c r="R80" s="244"/>
      <x:c r="S80" s="244"/>
      <x:c r="T80" s="244"/>
      <x:c r="U80" s="261"/>
    </x:row>
    <x:row r="81">
      <x:c r="A81" s="3"/>
      <x:c r="B81" s="262"/>
      <x:c r="C81" s="244"/>
      <x:c r="D81" s="244"/>
      <x:c r="E81" s="244"/>
      <x:c r="F81" s="244"/>
      <x:c r="G81" s="244"/>
      <x:c r="H81" s="244"/>
      <x:c r="I81" s="244"/>
      <x:c r="J81" s="244"/>
      <x:c r="K81" s="244"/>
      <x:c r="L81" s="244"/>
      <x:c r="M81" s="244"/>
      <x:c r="N81" s="244"/>
      <x:c r="O81" s="244"/>
      <x:c r="P81" s="244"/>
      <x:c r="Q81" s="244"/>
      <x:c r="R81" s="244"/>
      <x:c r="S81" s="244"/>
      <x:c r="T81" s="244"/>
      <x:c r="U81" s="261"/>
    </x:row>
    <x:row r="82">
      <x:c r="A82" s="3"/>
      <x:c r="B82" s="262"/>
      <x:c r="C82" s="244"/>
      <x:c r="D82" s="244"/>
      <x:c r="E82" s="244"/>
      <x:c r="F82" s="244"/>
      <x:c r="G82" s="244"/>
      <x:c r="H82" s="244"/>
      <x:c r="I82" s="244"/>
      <x:c r="J82" s="244"/>
      <x:c r="K82" s="244"/>
      <x:c r="L82" s="244"/>
      <x:c r="M82" s="244"/>
      <x:c r="N82" s="244"/>
      <x:c r="O82" s="244"/>
      <x:c r="P82" s="244"/>
      <x:c r="Q82" s="244"/>
      <x:c r="R82" s="244"/>
      <x:c r="S82" s="244"/>
      <x:c r="T82" s="244"/>
      <x:c r="U82" s="261"/>
    </x:row>
    <x:row r="83">
      <x:c r="A83" s="3"/>
      <x:c r="B83" s="262"/>
      <x:c r="C83" s="244"/>
      <x:c r="D83" s="244"/>
      <x:c r="E83" s="244"/>
      <x:c r="F83" s="244"/>
      <x:c r="G83" s="244"/>
      <x:c r="H83" s="244"/>
      <x:c r="I83" s="244"/>
      <x:c r="J83" s="244"/>
      <x:c r="K83" s="244"/>
      <x:c r="L83" s="244"/>
      <x:c r="M83" s="244"/>
      <x:c r="N83" s="244"/>
      <x:c r="O83" s="244"/>
      <x:c r="P83" s="244"/>
      <x:c r="Q83" s="244"/>
      <x:c r="R83" s="244"/>
      <x:c r="S83" s="244"/>
      <x:c r="T83" s="244"/>
      <x:c r="U83" s="261"/>
    </x:row>
    <x:row r="84">
      <x:c r="A84" s="3"/>
      <x:c r="B84" s="262"/>
      <x:c r="C84" s="244"/>
      <x:c r="D84" s="244"/>
      <x:c r="E84" s="244"/>
      <x:c r="F84" s="244"/>
      <x:c r="G84" s="244"/>
      <x:c r="H84" s="244"/>
      <x:c r="I84" s="244"/>
      <x:c r="J84" s="244"/>
      <x:c r="K84" s="244"/>
      <x:c r="L84" s="244"/>
      <x:c r="M84" s="244"/>
      <x:c r="N84" s="244"/>
      <x:c r="O84" s="244"/>
      <x:c r="P84" s="244"/>
      <x:c r="Q84" s="244"/>
      <x:c r="R84" s="244"/>
      <x:c r="S84" s="244"/>
      <x:c r="T84" s="244"/>
      <x:c r="U84" s="261"/>
    </x:row>
    <x:row r="85">
      <x:c r="A85" s="3"/>
      <x:c r="B85" s="262"/>
      <x:c r="C85" s="244"/>
      <x:c r="D85" s="244"/>
      <x:c r="E85" s="244"/>
      <x:c r="F85" s="244"/>
      <x:c r="G85" s="244"/>
      <x:c r="H85" s="244"/>
      <x:c r="I85" s="244"/>
      <x:c r="J85" s="244"/>
      <x:c r="K85" s="244"/>
      <x:c r="L85" s="244"/>
      <x:c r="M85" s="244"/>
      <x:c r="N85" s="244"/>
      <x:c r="O85" s="244"/>
      <x:c r="P85" s="244"/>
      <x:c r="Q85" s="244"/>
      <x:c r="R85" s="244"/>
      <x:c r="S85" s="244"/>
      <x:c r="T85" s="244"/>
      <x:c r="U85" s="261"/>
    </x:row>
    <x:row r="86">
      <x:c r="A86" s="3"/>
      <x:c r="B86" s="262"/>
      <x:c r="C86" s="244"/>
      <x:c r="D86" s="244"/>
      <x:c r="E86" s="244"/>
      <x:c r="F86" s="244"/>
      <x:c r="G86" s="244"/>
      <x:c r="H86" s="244"/>
      <x:c r="I86" s="244"/>
      <x:c r="J86" s="244"/>
      <x:c r="K86" s="244"/>
      <x:c r="L86" s="244"/>
      <x:c r="M86" s="244"/>
      <x:c r="N86" s="244"/>
      <x:c r="O86" s="244"/>
      <x:c r="P86" s="244"/>
      <x:c r="Q86" s="244"/>
      <x:c r="R86" s="244"/>
      <x:c r="S86" s="244"/>
      <x:c r="T86" s="244"/>
      <x:c r="U86" s="261"/>
    </x:row>
    <x:row r="87">
      <x:c r="A87" s="3"/>
      <x:c r="B87" s="262"/>
      <x:c r="C87" s="244"/>
      <x:c r="D87" s="244"/>
      <x:c r="E87" s="244"/>
      <x:c r="F87" s="244"/>
      <x:c r="G87" s="244"/>
      <x:c r="H87" s="244"/>
      <x:c r="I87" s="244"/>
      <x:c r="J87" s="244"/>
      <x:c r="K87" s="244"/>
      <x:c r="L87" s="244"/>
      <x:c r="M87" s="244"/>
      <x:c r="N87" s="244"/>
      <x:c r="O87" s="244"/>
      <x:c r="P87" s="244"/>
      <x:c r="Q87" s="244"/>
      <x:c r="R87" s="244"/>
      <x:c r="S87" s="244"/>
      <x:c r="T87" s="244"/>
      <x:c r="U87" s="261"/>
    </x:row>
    <x:row r="88">
      <x:c r="A88" s="3"/>
      <x:c r="B88" s="262"/>
      <x:c r="C88" s="244"/>
      <x:c r="D88" s="244"/>
      <x:c r="E88" s="244"/>
      <x:c r="F88" s="244"/>
      <x:c r="G88" s="244"/>
      <x:c r="H88" s="244"/>
      <x:c r="I88" s="244"/>
      <x:c r="J88" s="244"/>
      <x:c r="K88" s="244"/>
      <x:c r="L88" s="244"/>
      <x:c r="M88" s="244"/>
      <x:c r="N88" s="244"/>
      <x:c r="O88" s="244"/>
      <x:c r="P88" s="244"/>
      <x:c r="Q88" s="244"/>
      <x:c r="R88" s="244"/>
      <x:c r="S88" s="244"/>
      <x:c r="T88" s="244"/>
      <x:c r="U88" s="261"/>
    </x:row>
    <x:row r="89">
      <x:c r="A89" s="3"/>
      <x:c r="B89" s="262"/>
      <x:c r="C89" s="244"/>
      <x:c r="D89" s="244"/>
      <x:c r="E89" s="244"/>
      <x:c r="F89" s="244"/>
      <x:c r="G89" s="244"/>
      <x:c r="H89" s="244"/>
      <x:c r="I89" s="244"/>
      <x:c r="J89" s="244"/>
      <x:c r="K89" s="244"/>
      <x:c r="L89" s="244"/>
      <x:c r="M89" s="244"/>
      <x:c r="N89" s="244"/>
      <x:c r="O89" s="244"/>
      <x:c r="P89" s="244"/>
      <x:c r="Q89" s="244"/>
      <x:c r="R89" s="244"/>
      <x:c r="S89" s="244"/>
      <x:c r="T89" s="244"/>
      <x:c r="U89" s="261"/>
    </x:row>
    <x:row r="90">
      <x:c r="A90" s="3"/>
      <x:c r="B90" s="266"/>
      <x:c r="C90" s="267"/>
      <x:c r="D90" s="267"/>
      <x:c r="E90" s="267"/>
      <x:c r="F90" s="267"/>
      <x:c r="G90" s="267"/>
      <x:c r="H90" s="267"/>
      <x:c r="I90" s="267"/>
      <x:c r="J90" s="267"/>
      <x:c r="K90" s="267"/>
      <x:c r="L90" s="267"/>
      <x:c r="M90" s="267"/>
      <x:c r="N90" s="267"/>
      <x:c r="O90" s="267"/>
      <x:c r="P90" s="267"/>
      <x:c r="Q90" s="267"/>
      <x:c r="R90" s="267"/>
      <x:c r="S90" s="267"/>
      <x:c r="T90" s="267"/>
      <x:c r="U90" s="268"/>
    </x:row>
  </x:sheetData>
  <x:mergeCells>
    <x:mergeCell ref="B2:K2"/>
    <x:mergeCell ref="B3:K3"/>
    <x:mergeCell ref="B4:K4"/>
    <x:mergeCell ref="B6:H6"/>
    <x:mergeCell ref="J6:K6"/>
    <x:mergeCell ref="J29:L29"/>
    <x:mergeCell ref="J30:L30"/>
    <x:mergeCell ref="J31:L31"/>
    <x:mergeCell ref="J32:L32"/>
    <x:mergeCell ref="J35:L35"/>
    <x:mergeCell ref="K36:L36"/>
    <x:mergeCell ref="K37:L37"/>
    <x:mergeCell ref="K38:L38"/>
    <x:mergeCell ref="K39:L39"/>
  </x:mergeCells>
  <x:dataValidations count="2">
    <x:dataValidation type="list" sqref="D8:D79">
      <x:formula1>$J$8:$J$26</x:formula1>
    </x:dataValidation>
    <x:dataValidation type="list" sqref="G8:G79">
      <x:formula1>"Need,Want"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.6700000762939453" hidden="0" customWidth="1"/>
    <x:col min="2" max="2" width="20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7.780000686645508" hidden="0" customWidth="1"/>
    <x:col min="8" max="8" width="25.559999465942383" hidden="0" customWidth="1"/>
    <x:col min="9" max="9" width="18.889999389648438" hidden="0" customWidth="1"/>
    <x:col min="10" max="10" width="23.329999923706055" hidden="0" customWidth="1"/>
    <x:col min="11" max="11" width="20" hidden="0" customWidth="1"/>
    <x:col min="12" max="12" width="17.780000686645508" hidden="0" customWidth="1"/>
    <x:col min="13" max="13" width="16.670000076293945" hidden="0" customWidth="1"/>
    <x:col min="14" max="14" width="16.670000076293945" hidden="0" customWidth="1"/>
    <x:col min="15" max="15" width="16.670000076293945" hidden="0" customWidth="1"/>
    <x:col min="16" max="16" width="16.670000076293945" hidden="0" customWidth="1"/>
    <x:col min="17" max="17" width="16.670000076293945" hidden="0" customWidth="1"/>
    <x:col min="18" max="18" width="16.670000076293945" hidden="0" customWidth="1"/>
    <x:col min="19" max="19" width="16.670000076293945" hidden="0" customWidth="1"/>
    <x:col min="20" max="20" width="16.670000076293945" hidden="0" customWidth="1"/>
    <x:col min="21" max="21" width="16.670000076293945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>
      <x:c r="A2" s="3"/>
      <x:c r="B2" s="230" t="str">
        <x:v>Monthly Trends</x:v>
      </x:c>
      <x:c r="C2" s="231" t="str"/>
      <x:c r="D2" s="231" t="str"/>
      <x:c r="E2" s="231" t="str"/>
      <x:c r="F2" s="231" t="str"/>
      <x:c r="G2" s="231" t="str"/>
      <x:c r="H2" s="231" t="str"/>
      <x:c r="I2" s="231" t="str"/>
      <x:c r="J2" s="231" t="str"/>
      <x:c r="K2" s="232" t="str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>
      <x:c r="A3" s="3"/>
      <x:c r="B3" s="233" t="str">
        <x:v>See the story across the year instead of judging one isolated month.</x:v>
      </x:c>
      <x:c r="C3" s="6" t="str"/>
      <x:c r="D3" s="6" t="str"/>
      <x:c r="E3" s="6" t="str"/>
      <x:c r="F3" s="6" t="str"/>
      <x:c r="G3" s="6" t="str"/>
      <x:c r="H3" s="6" t="str"/>
      <x:c r="I3" s="6" t="str"/>
      <x:c r="J3" s="6" t="str"/>
      <x:c r="K3" s="234" t="str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>
      <x:c r="A4" s="3"/>
      <x:c r="B4" s="235" t="str">
        <x:v>Income, spending, flex cash, and category percentages update from Daily Log.</x:v>
      </x:c>
      <x:c r="C4" s="236" t="str"/>
      <x:c r="D4" s="236" t="str"/>
      <x:c r="E4" s="236" t="str"/>
      <x:c r="F4" s="236" t="str"/>
      <x:c r="G4" s="236" t="str"/>
      <x:c r="H4" s="236" t="str"/>
      <x:c r="I4" s="236" t="str"/>
      <x:c r="J4" s="236" t="str"/>
      <x:c r="K4" s="237" t="str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</x:row>
    <x:row r="6">
      <x:c r="A6" s="3"/>
      <x:c r="B6" s="256" t="str">
        <x:v>12-Month Summary</x:v>
      </x:c>
      <x:c r="C6" s="257" t="str">
        <x:v>12-Month Summary</x:v>
      </x:c>
      <x:c r="D6" s="257" t="str">
        <x:v>12-Month Summary</x:v>
      </x:c>
      <x:c r="E6" s="257" t="str">
        <x:v>12-Month Summary</x:v>
      </x:c>
      <x:c r="F6" s="257" t="str">
        <x:v>12-Month Summary</x:v>
      </x:c>
      <x:c r="G6" s="257" t="str">
        <x:v>12-Month Summary</x:v>
      </x:c>
      <x:c r="H6" s="258"/>
      <x:c r="I6" s="258"/>
      <x:c r="J6" s="258"/>
      <x:c r="K6" s="258"/>
      <x:c r="L6" s="258"/>
      <x:c r="M6" s="258"/>
      <x:c r="N6" s="258"/>
      <x:c r="O6" s="258"/>
      <x:c r="P6" s="258"/>
      <x:c r="Q6" s="258"/>
      <x:c r="R6" s="258"/>
      <x:c r="S6" s="258"/>
      <x:c r="T6" s="258"/>
      <x:c r="U6" s="259"/>
    </x:row>
    <x:row r="7">
      <x:c r="A7" s="3"/>
      <x:c r="B7" s="337" t="str">
        <x:v>Month</x:v>
      </x:c>
      <x:c r="C7" s="338" t="str">
        <x:v>Income</x:v>
      </x:c>
      <x:c r="D7" s="338" t="str">
        <x:v>Spending</x:v>
      </x:c>
      <x:c r="E7" s="338" t="str">
        <x:v>True Flex Cash</x:v>
      </x:c>
      <x:c r="F7" s="338" t="str">
        <x:v>Savings</x:v>
      </x:c>
      <x:c r="G7" s="338" t="str">
        <x:v>Savings Rate</x:v>
      </x:c>
      <x:c r="H7" s="244"/>
      <x:c r="I7" s="244"/>
      <x:c r="J7" s="244"/>
      <x:c r="K7" s="244"/>
      <x:c r="L7" s="244"/>
      <x:c r="M7" s="244"/>
      <x:c r="N7" s="244"/>
      <x:c r="O7" s="244"/>
      <x:c r="P7" s="244"/>
      <x:c r="Q7" s="244"/>
      <x:c r="R7" s="244"/>
      <x:c r="S7" s="244"/>
      <x:c r="T7" s="244"/>
      <x:c r="U7" s="261"/>
    </x:row>
    <x:row r="8">
      <x:c r="A8" s="3"/>
      <x:c r="B8" s="307" t="n">
        <x:v>46023</x:v>
      </x:c>
      <x:c r="C8" s="286" t="n">
        <x:f>SUMIFS('Daily Log'!E:E,'Daily Log'!F:F,"Income",'Daily Log'!B:B,"&gt;="&amp;B8,'Daily Log'!B:B,"&lt;="&amp;EOMONTH(B8,0))</x:f>
        <x:v>4800</x:v>
      </x:c>
      <x:c r="D8" s="286" t="n">
        <x:f>SUMIFS('Daily Log'!E:E,'Daily Log'!F:F,"Expense",'Daily Log'!B:B,"&gt;="&amp;B8,'Daily Log'!B:B,"&lt;="&amp;EOMONTH(B8,0))</x:f>
        <x:v>3088</x:v>
      </x:c>
      <x:c r="E8" s="286" t="n">
        <x:f>C8-D8</x:f>
        <x:v>1712</x:v>
      </x:c>
      <x:c r="F8" s="286" t="n">
        <x:f>SUMIFS('Daily Log'!E:E,'Daily Log'!D:D,"Savings Transfers",'Daily Log'!B:B,"&gt;="&amp;B8,'Daily Log'!B:B,"&lt;="&amp;EOMONTH(B8,0))</x:f>
        <x:v>0</x:v>
      </x:c>
      <x:c r="G8" s="287" t="n">
        <x:f>IF(C8=0,0,F8/C8)</x:f>
        <x:v>0</x:v>
      </x:c>
      <x:c r="H8" s="244"/>
      <x:c r="I8" s="244"/>
      <x:c r="J8" s="244"/>
      <x:c r="K8" s="244"/>
      <x:c r="L8" s="244"/>
      <x:c r="M8" s="244"/>
      <x:c r="N8" s="244"/>
      <x:c r="O8" s="244"/>
      <x:c r="P8" s="244"/>
      <x:c r="Q8" s="244"/>
      <x:c r="R8" s="244"/>
      <x:c r="S8" s="244"/>
      <x:c r="T8" s="244"/>
      <x:c r="U8" s="261"/>
    </x:row>
    <x:row r="9">
      <x:c r="A9" s="3"/>
      <x:c r="B9" s="307" t="n">
        <x:v>46054</x:v>
      </x:c>
      <x:c r="C9" s="286" t="n">
        <x:f>SUMIFS('Daily Log'!E:E,'Daily Log'!F:F,"Income",'Daily Log'!B:B,"&gt;="&amp;B9,'Daily Log'!B:B,"&lt;="&amp;EOMONTH(B9,0))</x:f>
        <x:v>4950</x:v>
      </x:c>
      <x:c r="D9" s="286" t="n">
        <x:f>SUMIFS('Daily Log'!E:E,'Daily Log'!F:F,"Expense",'Daily Log'!B:B,"&gt;="&amp;B9,'Daily Log'!B:B,"&lt;="&amp;EOMONTH(B9,0))</x:f>
        <x:v>3477</x:v>
      </x:c>
      <x:c r="E9" s="286" t="n">
        <x:f>C9-D9</x:f>
        <x:v>1473</x:v>
      </x:c>
      <x:c r="F9" s="286" t="n">
        <x:f>SUMIFS('Daily Log'!E:E,'Daily Log'!D:D,"Savings Transfers",'Daily Log'!B:B,"&gt;="&amp;B9,'Daily Log'!B:B,"&lt;="&amp;EOMONTH(B9,0))</x:f>
        <x:v>0</x:v>
      </x:c>
      <x:c r="G9" s="287" t="n">
        <x:f>IF(C9=0,0,F9/C9)</x:f>
        <x:v>0</x:v>
      </x:c>
      <x:c r="H9" s="244"/>
      <x:c r="I9" s="244"/>
      <x:c r="J9" s="244"/>
      <x:c r="K9" s="244"/>
      <x:c r="L9" s="244"/>
      <x:c r="M9" s="244"/>
      <x:c r="N9" s="244"/>
      <x:c r="O9" s="244"/>
      <x:c r="P9" s="244"/>
      <x:c r="Q9" s="244"/>
      <x:c r="R9" s="244"/>
      <x:c r="S9" s="244"/>
      <x:c r="T9" s="244"/>
      <x:c r="U9" s="261"/>
    </x:row>
    <x:row r="10">
      <x:c r="A10" s="3"/>
      <x:c r="B10" s="307" t="n">
        <x:v>46082</x:v>
      </x:c>
      <x:c r="C10" s="286" t="n">
        <x:f>SUMIFS('Daily Log'!E:E,'Daily Log'!F:F,"Income",'Daily Log'!B:B,"&gt;="&amp;B10,'Daily Log'!B:B,"&lt;="&amp;EOMONTH(B10,0))</x:f>
        <x:v>4875</x:v>
      </x:c>
      <x:c r="D10" s="286" t="n">
        <x:f>SUMIFS('Daily Log'!E:E,'Daily Log'!F:F,"Expense",'Daily Log'!B:B,"&gt;="&amp;B10,'Daily Log'!B:B,"&lt;="&amp;EOMONTH(B10,0))</x:f>
        <x:v>2432</x:v>
      </x:c>
      <x:c r="E10" s="286" t="n">
        <x:f>C10-D10</x:f>
        <x:v>2443</x:v>
      </x:c>
      <x:c r="F10" s="286" t="n">
        <x:f>SUMIFS('Daily Log'!E:E,'Daily Log'!D:D,"Savings Transfers",'Daily Log'!B:B,"&gt;="&amp;B10,'Daily Log'!B:B,"&lt;="&amp;EOMONTH(B10,0))</x:f>
        <x:v>0</x:v>
      </x:c>
      <x:c r="G10" s="287" t="n">
        <x:f>IF(C10=0,0,F10/C10)</x:f>
        <x:v>0</x:v>
      </x:c>
      <x:c r="H10" s="244"/>
      <x:c r="I10" s="244"/>
      <x:c r="J10" s="244"/>
      <x:c r="K10" s="244"/>
      <x:c r="L10" s="244"/>
      <x:c r="M10" s="244"/>
      <x:c r="N10" s="244"/>
      <x:c r="O10" s="244"/>
      <x:c r="P10" s="244"/>
      <x:c r="Q10" s="244"/>
      <x:c r="R10" s="244"/>
      <x:c r="S10" s="244"/>
      <x:c r="T10" s="244"/>
      <x:c r="U10" s="261"/>
    </x:row>
    <x:row r="11">
      <x:c r="A11" s="3"/>
      <x:c r="B11" s="307" t="n">
        <x:v>46113</x:v>
      </x:c>
      <x:c r="C11" s="286" t="n">
        <x:f>SUMIFS('Daily Log'!E:E,'Daily Log'!F:F,"Income",'Daily Log'!B:B,"&gt;="&amp;B11,'Daily Log'!B:B,"&lt;="&amp;EOMONTH(B11,0))</x:f>
        <x:v>0</x:v>
      </x:c>
      <x:c r="D11" s="286" t="n">
        <x:f>SUMIFS('Daily Log'!E:E,'Daily Log'!F:F,"Expense",'Daily Log'!B:B,"&gt;="&amp;B11,'Daily Log'!B:B,"&lt;="&amp;EOMONTH(B11,0))</x:f>
        <x:v>0</x:v>
      </x:c>
      <x:c r="E11" s="286" t="n">
        <x:f>C11-D11</x:f>
        <x:v>0</x:v>
      </x:c>
      <x:c r="F11" s="286" t="n">
        <x:f>SUMIFS('Daily Log'!E:E,'Daily Log'!D:D,"Savings Transfers",'Daily Log'!B:B,"&gt;="&amp;B11,'Daily Log'!B:B,"&lt;="&amp;EOMONTH(B11,0))</x:f>
        <x:v>0</x:v>
      </x:c>
      <x:c r="G11" s="287" t="n">
        <x:f>IF(C11=0,0,F11/C11)</x:f>
        <x:v>0</x:v>
      </x:c>
      <x:c r="H11" s="244"/>
      <x:c r="I11" s="244"/>
      <x:c r="J11" s="244"/>
      <x:c r="K11" s="244"/>
      <x:c r="L11" s="244"/>
      <x:c r="M11" s="244"/>
      <x:c r="N11" s="244"/>
      <x:c r="O11" s="244"/>
      <x:c r="P11" s="244"/>
      <x:c r="Q11" s="244"/>
      <x:c r="R11" s="244"/>
      <x:c r="S11" s="244"/>
      <x:c r="T11" s="244"/>
      <x:c r="U11" s="261"/>
    </x:row>
    <x:row r="12">
      <x:c r="A12" s="3"/>
      <x:c r="B12" s="307" t="n">
        <x:v>46143</x:v>
      </x:c>
      <x:c r="C12" s="286" t="n">
        <x:f>SUMIFS('Daily Log'!E:E,'Daily Log'!F:F,"Income",'Daily Log'!B:B,"&gt;="&amp;B12,'Daily Log'!B:B,"&lt;="&amp;EOMONTH(B12,0))</x:f>
        <x:v>0</x:v>
      </x:c>
      <x:c r="D12" s="286" t="n">
        <x:f>SUMIFS('Daily Log'!E:E,'Daily Log'!F:F,"Expense",'Daily Log'!B:B,"&gt;="&amp;B12,'Daily Log'!B:B,"&lt;="&amp;EOMONTH(B12,0))</x:f>
        <x:v>0</x:v>
      </x:c>
      <x:c r="E12" s="286" t="n">
        <x:f>C12-D12</x:f>
        <x:v>0</x:v>
      </x:c>
      <x:c r="F12" s="286" t="n">
        <x:f>SUMIFS('Daily Log'!E:E,'Daily Log'!D:D,"Savings Transfers",'Daily Log'!B:B,"&gt;="&amp;B12,'Daily Log'!B:B,"&lt;="&amp;EOMONTH(B12,0))</x:f>
        <x:v>0</x:v>
      </x:c>
      <x:c r="G12" s="287" t="n">
        <x:f>IF(C12=0,0,F12/C12)</x:f>
        <x:v>0</x:v>
      </x:c>
      <x:c r="H12" s="244"/>
      <x:c r="I12" s="244"/>
      <x:c r="J12" s="244"/>
      <x:c r="K12" s="244"/>
      <x:c r="L12" s="244"/>
      <x:c r="M12" s="244"/>
      <x:c r="N12" s="244"/>
      <x:c r="O12" s="244"/>
      <x:c r="P12" s="244"/>
      <x:c r="Q12" s="244"/>
      <x:c r="R12" s="244"/>
      <x:c r="S12" s="244"/>
      <x:c r="T12" s="244"/>
      <x:c r="U12" s="261"/>
    </x:row>
    <x:row r="13">
      <x:c r="A13" s="3"/>
      <x:c r="B13" s="307" t="n">
        <x:v>46174</x:v>
      </x:c>
      <x:c r="C13" s="286" t="n">
        <x:f>SUMIFS('Daily Log'!E:E,'Daily Log'!F:F,"Income",'Daily Log'!B:B,"&gt;="&amp;B13,'Daily Log'!B:B,"&lt;="&amp;EOMONTH(B13,0))</x:f>
        <x:v>4850</x:v>
      </x:c>
      <x:c r="D13" s="286" t="n">
        <x:f>SUMIFS('Daily Log'!E:E,'Daily Log'!F:F,"Expense",'Daily Log'!B:B,"&gt;="&amp;B13,'Daily Log'!B:B,"&lt;="&amp;EOMONTH(B13,0))</x:f>
        <x:v>2067</x:v>
      </x:c>
      <x:c r="E13" s="286" t="n">
        <x:f>C13-D13</x:f>
        <x:v>2783</x:v>
      </x:c>
      <x:c r="F13" s="286" t="n">
        <x:f>SUMIFS('Daily Log'!E:E,'Daily Log'!D:D,"Savings Transfers",'Daily Log'!B:B,"&gt;="&amp;B13,'Daily Log'!B:B,"&lt;="&amp;EOMONTH(B13,0))</x:f>
        <x:v>0</x:v>
      </x:c>
      <x:c r="G13" s="287" t="n">
        <x:f>IF(C13=0,0,F13/C13)</x:f>
        <x:v>0</x:v>
      </x:c>
      <x:c r="H13" s="244"/>
      <x:c r="I13" s="244"/>
      <x:c r="J13" s="244"/>
      <x:c r="K13" s="244"/>
      <x:c r="L13" s="244"/>
      <x:c r="M13" s="244"/>
      <x:c r="N13" s="244"/>
      <x:c r="O13" s="244"/>
      <x:c r="P13" s="244"/>
      <x:c r="Q13" s="244"/>
      <x:c r="R13" s="244"/>
      <x:c r="S13" s="244"/>
      <x:c r="T13" s="244"/>
      <x:c r="U13" s="261"/>
    </x:row>
    <x:row r="14">
      <x:c r="A14" s="3"/>
      <x:c r="B14" s="307" t="n">
        <x:v>46204</x:v>
      </x:c>
      <x:c r="C14" s="286" t="n">
        <x:f>SUMIFS('Daily Log'!E:E,'Daily Log'!F:F,"Income",'Daily Log'!B:B,"&gt;="&amp;B14,'Daily Log'!B:B,"&lt;="&amp;EOMONTH(B14,0))</x:f>
        <x:v>0</x:v>
      </x:c>
      <x:c r="D14" s="286" t="n">
        <x:f>SUMIFS('Daily Log'!E:E,'Daily Log'!F:F,"Expense",'Daily Log'!B:B,"&gt;="&amp;B14,'Daily Log'!B:B,"&lt;="&amp;EOMONTH(B14,0))</x:f>
        <x:v>0</x:v>
      </x:c>
      <x:c r="E14" s="286" t="n">
        <x:f>C14-D14</x:f>
        <x:v>0</x:v>
      </x:c>
      <x:c r="F14" s="286" t="n">
        <x:f>SUMIFS('Daily Log'!E:E,'Daily Log'!D:D,"Savings Transfers",'Daily Log'!B:B,"&gt;="&amp;B14,'Daily Log'!B:B,"&lt;="&amp;EOMONTH(B14,0))</x:f>
        <x:v>0</x:v>
      </x:c>
      <x:c r="G14" s="287" t="n">
        <x:f>IF(C14=0,0,F14/C14)</x:f>
        <x:v>0</x:v>
      </x:c>
      <x:c r="H14" s="244"/>
      <x:c r="I14" s="244"/>
      <x:c r="J14" s="244"/>
      <x:c r="K14" s="244"/>
      <x:c r="L14" s="244"/>
      <x:c r="M14" s="244"/>
      <x:c r="N14" s="244"/>
      <x:c r="O14" s="244"/>
      <x:c r="P14" s="244"/>
      <x:c r="Q14" s="244"/>
      <x:c r="R14" s="244"/>
      <x:c r="S14" s="244"/>
      <x:c r="T14" s="244"/>
      <x:c r="U14" s="261"/>
    </x:row>
    <x:row r="15">
      <x:c r="A15" s="3"/>
      <x:c r="B15" s="307" t="n">
        <x:v>46235</x:v>
      </x:c>
      <x:c r="C15" s="286" t="n">
        <x:f>SUMIFS('Daily Log'!E:E,'Daily Log'!F:F,"Income",'Daily Log'!B:B,"&gt;="&amp;B15,'Daily Log'!B:B,"&lt;="&amp;EOMONTH(B15,0))</x:f>
        <x:v>0</x:v>
      </x:c>
      <x:c r="D15" s="286" t="n">
        <x:f>SUMIFS('Daily Log'!E:E,'Daily Log'!F:F,"Expense",'Daily Log'!B:B,"&gt;="&amp;B15,'Daily Log'!B:B,"&lt;="&amp;EOMONTH(B15,0))</x:f>
        <x:v>0</x:v>
      </x:c>
      <x:c r="E15" s="286" t="n">
        <x:f>C15-D15</x:f>
        <x:v>0</x:v>
      </x:c>
      <x:c r="F15" s="286" t="n">
        <x:f>SUMIFS('Daily Log'!E:E,'Daily Log'!D:D,"Savings Transfers",'Daily Log'!B:B,"&gt;="&amp;B15,'Daily Log'!B:B,"&lt;="&amp;EOMONTH(B15,0))</x:f>
        <x:v>0</x:v>
      </x:c>
      <x:c r="G15" s="287" t="n">
        <x:f>IF(C15=0,0,F15/C15)</x:f>
        <x:v>0</x:v>
      </x:c>
      <x:c r="H15" s="244"/>
      <x:c r="I15" s="244"/>
      <x:c r="J15" s="244"/>
      <x:c r="K15" s="244"/>
      <x:c r="L15" s="244"/>
      <x:c r="M15" s="244"/>
      <x:c r="N15" s="244"/>
      <x:c r="O15" s="244"/>
      <x:c r="P15" s="244"/>
      <x:c r="Q15" s="244"/>
      <x:c r="R15" s="244"/>
      <x:c r="S15" s="244"/>
      <x:c r="T15" s="244"/>
      <x:c r="U15" s="261"/>
    </x:row>
    <x:row r="16">
      <x:c r="A16" s="3"/>
      <x:c r="B16" s="307" t="n">
        <x:v>46266</x:v>
      </x:c>
      <x:c r="C16" s="286" t="n">
        <x:f>SUMIFS('Daily Log'!E:E,'Daily Log'!F:F,"Income",'Daily Log'!B:B,"&gt;="&amp;B16,'Daily Log'!B:B,"&lt;="&amp;EOMONTH(B16,0))</x:f>
        <x:v>0</x:v>
      </x:c>
      <x:c r="D16" s="286" t="n">
        <x:f>SUMIFS('Daily Log'!E:E,'Daily Log'!F:F,"Expense",'Daily Log'!B:B,"&gt;="&amp;B16,'Daily Log'!B:B,"&lt;="&amp;EOMONTH(B16,0))</x:f>
        <x:v>0</x:v>
      </x:c>
      <x:c r="E16" s="286" t="n">
        <x:f>C16-D16</x:f>
        <x:v>0</x:v>
      </x:c>
      <x:c r="F16" s="286" t="n">
        <x:f>SUMIFS('Daily Log'!E:E,'Daily Log'!D:D,"Savings Transfers",'Daily Log'!B:B,"&gt;="&amp;B16,'Daily Log'!B:B,"&lt;="&amp;EOMONTH(B16,0))</x:f>
        <x:v>0</x:v>
      </x:c>
      <x:c r="G16" s="287" t="n">
        <x:f>IF(C16=0,0,F16/C16)</x:f>
        <x:v>0</x:v>
      </x:c>
      <x:c r="H16" s="244"/>
      <x:c r="I16" s="244"/>
      <x:c r="J16" s="244"/>
      <x:c r="K16" s="244"/>
      <x:c r="L16" s="244"/>
      <x:c r="M16" s="244"/>
      <x:c r="N16" s="244"/>
      <x:c r="O16" s="244"/>
      <x:c r="P16" s="244"/>
      <x:c r="Q16" s="244"/>
      <x:c r="R16" s="244"/>
      <x:c r="S16" s="244"/>
      <x:c r="T16" s="244"/>
      <x:c r="U16" s="261"/>
    </x:row>
    <x:row r="17">
      <x:c r="A17" s="3"/>
      <x:c r="B17" s="307" t="n">
        <x:v>46296</x:v>
      </x:c>
      <x:c r="C17" s="286" t="n">
        <x:f>SUMIFS('Daily Log'!E:E,'Daily Log'!F:F,"Income",'Daily Log'!B:B,"&gt;="&amp;B17,'Daily Log'!B:B,"&lt;="&amp;EOMONTH(B17,0))</x:f>
        <x:v>0</x:v>
      </x:c>
      <x:c r="D17" s="286" t="n">
        <x:f>SUMIFS('Daily Log'!E:E,'Daily Log'!F:F,"Expense",'Daily Log'!B:B,"&gt;="&amp;B17,'Daily Log'!B:B,"&lt;="&amp;EOMONTH(B17,0))</x:f>
        <x:v>0</x:v>
      </x:c>
      <x:c r="E17" s="286" t="n">
        <x:f>C17-D17</x:f>
        <x:v>0</x:v>
      </x:c>
      <x:c r="F17" s="286" t="n">
        <x:f>SUMIFS('Daily Log'!E:E,'Daily Log'!D:D,"Savings Transfers",'Daily Log'!B:B,"&gt;="&amp;B17,'Daily Log'!B:B,"&lt;="&amp;EOMONTH(B17,0))</x:f>
        <x:v>0</x:v>
      </x:c>
      <x:c r="G17" s="287" t="n">
        <x:f>IF(C17=0,0,F17/C17)</x:f>
        <x:v>0</x:v>
      </x:c>
      <x:c r="H17" s="244"/>
      <x:c r="I17" s="244"/>
      <x:c r="J17" s="244"/>
      <x:c r="K17" s="244"/>
      <x:c r="L17" s="244"/>
      <x:c r="M17" s="244"/>
      <x:c r="N17" s="244"/>
      <x:c r="O17" s="244"/>
      <x:c r="P17" s="244"/>
      <x:c r="Q17" s="244"/>
      <x:c r="R17" s="244"/>
      <x:c r="S17" s="244"/>
      <x:c r="T17" s="244"/>
      <x:c r="U17" s="261"/>
    </x:row>
    <x:row r="18">
      <x:c r="A18" s="3"/>
      <x:c r="B18" s="307" t="n">
        <x:v>46327</x:v>
      </x:c>
      <x:c r="C18" s="286" t="n">
        <x:f>SUMIFS('Daily Log'!E:E,'Daily Log'!F:F,"Income",'Daily Log'!B:B,"&gt;="&amp;B18,'Daily Log'!B:B,"&lt;="&amp;EOMONTH(B18,0))</x:f>
        <x:v>0</x:v>
      </x:c>
      <x:c r="D18" s="286" t="n">
        <x:f>SUMIFS('Daily Log'!E:E,'Daily Log'!F:F,"Expense",'Daily Log'!B:B,"&gt;="&amp;B18,'Daily Log'!B:B,"&lt;="&amp;EOMONTH(B18,0))</x:f>
        <x:v>0</x:v>
      </x:c>
      <x:c r="E18" s="286" t="n">
        <x:f>C18-D18</x:f>
        <x:v>0</x:v>
      </x:c>
      <x:c r="F18" s="286" t="n">
        <x:f>SUMIFS('Daily Log'!E:E,'Daily Log'!D:D,"Savings Transfers",'Daily Log'!B:B,"&gt;="&amp;B18,'Daily Log'!B:B,"&lt;="&amp;EOMONTH(B18,0))</x:f>
        <x:v>0</x:v>
      </x:c>
      <x:c r="G18" s="287" t="n">
        <x:f>IF(C18=0,0,F18/C18)</x:f>
        <x:v>0</x:v>
      </x:c>
      <x:c r="H18" s="244"/>
      <x:c r="I18" s="244"/>
      <x:c r="J18" s="244"/>
      <x:c r="K18" s="244"/>
      <x:c r="L18" s="244"/>
      <x:c r="M18" s="244"/>
      <x:c r="N18" s="244"/>
      <x:c r="O18" s="244"/>
      <x:c r="P18" s="244"/>
      <x:c r="Q18" s="244"/>
      <x:c r="R18" s="244"/>
      <x:c r="S18" s="244"/>
      <x:c r="T18" s="244"/>
      <x:c r="U18" s="261"/>
    </x:row>
    <x:row r="19">
      <x:c r="A19" s="3"/>
      <x:c r="B19" s="307" t="n">
        <x:v>46357</x:v>
      </x:c>
      <x:c r="C19" s="286" t="n">
        <x:f>SUMIFS('Daily Log'!E:E,'Daily Log'!F:F,"Income",'Daily Log'!B:B,"&gt;="&amp;B19,'Daily Log'!B:B,"&lt;="&amp;EOMONTH(B19,0))</x:f>
        <x:v>0</x:v>
      </x:c>
      <x:c r="D19" s="286" t="n">
        <x:f>SUMIFS('Daily Log'!E:E,'Daily Log'!F:F,"Expense",'Daily Log'!B:B,"&gt;="&amp;B19,'Daily Log'!B:B,"&lt;="&amp;EOMONTH(B19,0))</x:f>
        <x:v>0</x:v>
      </x:c>
      <x:c r="E19" s="286" t="n">
        <x:f>C19-D19</x:f>
        <x:v>0</x:v>
      </x:c>
      <x:c r="F19" s="286" t="n">
        <x:f>SUMIFS('Daily Log'!E:E,'Daily Log'!D:D,"Savings Transfers",'Daily Log'!B:B,"&gt;="&amp;B19,'Daily Log'!B:B,"&lt;="&amp;EOMONTH(B19,0))</x:f>
        <x:v>0</x:v>
      </x:c>
      <x:c r="G19" s="287" t="n">
        <x:f>IF(C19=0,0,F19/C19)</x:f>
        <x:v>0</x:v>
      </x:c>
      <x:c r="H19" s="244"/>
      <x:c r="I19" s="244"/>
      <x:c r="J19" s="244"/>
      <x:c r="K19" s="244"/>
      <x:c r="L19" s="244"/>
      <x:c r="M19" s="244"/>
      <x:c r="N19" s="244"/>
      <x:c r="O19" s="244"/>
      <x:c r="P19" s="244"/>
      <x:c r="Q19" s="244"/>
      <x:c r="R19" s="244"/>
      <x:c r="S19" s="244"/>
      <x:c r="T19" s="244"/>
      <x:c r="U19" s="261"/>
    </x:row>
    <x:row r="20">
      <x:c r="A20" s="3"/>
      <x:c r="B20" s="262"/>
      <x:c r="C20" s="244"/>
      <x:c r="D20" s="244"/>
      <x:c r="E20" s="244"/>
      <x:c r="F20" s="244"/>
      <x:c r="G20" s="244"/>
      <x:c r="H20" s="244"/>
      <x:c r="I20" s="244"/>
      <x:c r="J20" s="244"/>
      <x:c r="K20" s="244"/>
      <x:c r="L20" s="244"/>
      <x:c r="M20" s="244"/>
      <x:c r="N20" s="244"/>
      <x:c r="O20" s="244"/>
      <x:c r="P20" s="244"/>
      <x:c r="Q20" s="244"/>
      <x:c r="R20" s="244"/>
      <x:c r="S20" s="244"/>
      <x:c r="T20" s="244"/>
      <x:c r="U20" s="261"/>
    </x:row>
    <x:row r="21">
      <x:c r="A21" s="3"/>
      <x:c r="B21" s="262"/>
      <x:c r="C21" s="244"/>
      <x:c r="D21" s="244"/>
      <x:c r="E21" s="244"/>
      <x:c r="F21" s="244"/>
      <x:c r="G21" s="244"/>
      <x:c r="H21" s="244"/>
      <x:c r="I21" s="244"/>
      <x:c r="J21" s="244"/>
      <x:c r="K21" s="244"/>
      <x:c r="L21" s="244"/>
      <x:c r="M21" s="244"/>
      <x:c r="N21" s="244"/>
      <x:c r="O21" s="244"/>
      <x:c r="P21" s="244"/>
      <x:c r="Q21" s="244"/>
      <x:c r="R21" s="244"/>
      <x:c r="S21" s="244"/>
      <x:c r="T21" s="244"/>
      <x:c r="U21" s="261"/>
    </x:row>
    <x:row r="22">
      <x:c r="A22" s="3"/>
      <x:c r="B22" s="263" t="str">
        <x:v>Expense Categories as % of Income</x:v>
      </x:c>
      <x:c r="C22" s="248" t="str">
        <x:v>Expense Categories as % of Income</x:v>
      </x:c>
      <x:c r="D22" s="248" t="str">
        <x:v>Expense Categories as % of Income</x:v>
      </x:c>
      <x:c r="E22" s="248" t="str">
        <x:v>Expense Categories as % of Income</x:v>
      </x:c>
      <x:c r="F22" s="248" t="str">
        <x:v>Expense Categories as % of Income</x:v>
      </x:c>
      <x:c r="G22" s="248" t="str">
        <x:v>Expense Categories as % of Income</x:v>
      </x:c>
      <x:c r="H22" s="244"/>
      <x:c r="I22" s="244"/>
      <x:c r="J22" s="244"/>
      <x:c r="K22" s="244"/>
      <x:c r="L22" s="244"/>
      <x:c r="M22" s="244"/>
      <x:c r="N22" s="244"/>
      <x:c r="O22" s="244"/>
      <x:c r="P22" s="244"/>
      <x:c r="Q22" s="244"/>
      <x:c r="R22" s="244"/>
      <x:c r="S22" s="244"/>
      <x:c r="T22" s="244"/>
      <x:c r="U22" s="261"/>
    </x:row>
    <x:row r="23">
      <x:c r="A23" s="3"/>
      <x:c r="B23" s="337" t="str">
        <x:v>Month</x:v>
      </x:c>
      <x:c r="C23" s="338" t="str">
        <x:v>Housing %</x:v>
      </x:c>
      <x:c r="D23" s="338" t="str">
        <x:v>Transportation %</x:v>
      </x:c>
      <x:c r="E23" s="338" t="str">
        <x:v>Groceries %</x:v>
      </x:c>
      <x:c r="F23" s="338" t="str">
        <x:v>Food &amp; Dining %</x:v>
      </x:c>
      <x:c r="G23" s="338" t="str">
        <x:v>Debt %</x:v>
      </x:c>
      <x:c r="H23" s="244"/>
      <x:c r="I23" s="244"/>
      <x:c r="J23" s="244"/>
      <x:c r="K23" s="244"/>
      <x:c r="L23" s="244"/>
      <x:c r="M23" s="244"/>
      <x:c r="N23" s="244"/>
      <x:c r="O23" s="244"/>
      <x:c r="P23" s="244"/>
      <x:c r="Q23" s="244"/>
      <x:c r="R23" s="244"/>
      <x:c r="S23" s="244"/>
      <x:c r="T23" s="244"/>
      <x:c r="U23" s="261"/>
    </x:row>
    <x:row r="24">
      <x:c r="A24" s="3"/>
      <x:c r="B24" s="307" t="n">
        <x:v>46023</x:v>
      </x:c>
      <x:c r="C24" s="287" t="n">
        <x:f>IF($C8=0,0,SUMIFS('Daily Log'!E:E,'Daily Log'!D:D,"Housing",'Daily Log'!B:B,"&gt;="&amp;B24,'Daily Log'!B:B,"&lt;="&amp;EOMONTH(B24,0))/$C8)</x:f>
        <x:v>0.3854166666666667</x:v>
      </x:c>
      <x:c r="D24" s="287" t="n">
        <x:f>IF($C8=0,0,SUMIFS('Daily Log'!E:E,'Daily Log'!D:D,"Transportation",'Daily Log'!B:B,"&gt;="&amp;B24,'Daily Log'!B:B,"&lt;="&amp;EOMONTH(B24,0))/$C8)</x:f>
        <x:v>0.02875</x:v>
      </x:c>
      <x:c r="E24" s="287" t="n">
        <x:f>IF($C8=0,0,SUMIFS('Daily Log'!E:E,'Daily Log'!D:D,"Groceries",'Daily Log'!B:B,"&gt;="&amp;B24,'Daily Log'!B:B,"&lt;="&amp;EOMONTH(B24,0))/$C8)</x:f>
        <x:v>0.096875</x:v>
      </x:c>
      <x:c r="F24" s="287" t="n">
        <x:f>IF($C8=0,0,SUMIFS('Daily Log'!E:E,'Daily Log'!D:D,"Food &amp; Dining",'Daily Log'!B:B,"&gt;="&amp;B24,'Daily Log'!B:B,"&lt;="&amp;EOMONTH(B24,0))/$C8)</x:f>
        <x:v>0.059375</x:v>
      </x:c>
      <x:c r="G24" s="287" t="n">
        <x:f>IF($C8=0,0,SUMIFS('Daily Log'!E:E,'Daily Log'!D:D,"Debt",'Daily Log'!B:B,"&gt;="&amp;B24,'Daily Log'!B:B,"&lt;="&amp;EOMONTH(B24,0))/$C8)</x:f>
        <x:v>0</x:v>
      </x:c>
      <x:c r="H24" s="244"/>
      <x:c r="I24" s="244"/>
      <x:c r="J24" s="244"/>
      <x:c r="K24" s="244"/>
      <x:c r="L24" s="244"/>
      <x:c r="M24" s="244"/>
      <x:c r="N24" s="244"/>
      <x:c r="O24" s="244"/>
      <x:c r="P24" s="244"/>
      <x:c r="Q24" s="244"/>
      <x:c r="R24" s="244"/>
      <x:c r="S24" s="244"/>
      <x:c r="T24" s="244"/>
      <x:c r="U24" s="261"/>
    </x:row>
    <x:row r="25">
      <x:c r="A25" s="3"/>
      <x:c r="B25" s="307" t="n">
        <x:v>46054</x:v>
      </x:c>
      <x:c r="C25" s="287" t="n">
        <x:f>IF($C9=0,0,SUMIFS('Daily Log'!E:E,'Daily Log'!D:D,"Housing",'Daily Log'!B:B,"&gt;="&amp;B25,'Daily Log'!B:B,"&lt;="&amp;EOMONTH(B25,0))/$C9)</x:f>
        <x:v>0.37373737373737376</x:v>
      </x:c>
      <x:c r="D25" s="287" t="n">
        <x:f>IF($C9=0,0,SUMIFS('Daily Log'!E:E,'Daily Log'!D:D,"Transportation",'Daily Log'!B:B,"&gt;="&amp;B25,'Daily Log'!B:B,"&lt;="&amp;EOMONTH(B25,0))/$C9)</x:f>
        <x:v>0</x:v>
      </x:c>
      <x:c r="E25" s="287" t="n">
        <x:f>IF($C9=0,0,SUMIFS('Daily Log'!E:E,'Daily Log'!D:D,"Groceries",'Daily Log'!B:B,"&gt;="&amp;B25,'Daily Log'!B:B,"&lt;="&amp;EOMONTH(B25,0))/$C9)</x:f>
        <x:v>0.10303030303030303</x:v>
      </x:c>
      <x:c r="F25" s="287" t="n">
        <x:f>IF($C9=0,0,SUMIFS('Daily Log'!E:E,'Daily Log'!D:D,"Food &amp; Dining",'Daily Log'!B:B,"&gt;="&amp;B25,'Daily Log'!B:B,"&lt;="&amp;EOMONTH(B25,0))/$C9)</x:f>
        <x:v>0</x:v>
      </x:c>
      <x:c r="G25" s="287" t="n">
        <x:f>IF($C9=0,0,SUMIFS('Daily Log'!E:E,'Daily Log'!D:D,"Debt",'Daily Log'!B:B,"&gt;="&amp;B25,'Daily Log'!B:B,"&lt;="&amp;EOMONTH(B25,0))/$C9)</x:f>
        <x:v>0.10505050505050505</x:v>
      </x:c>
      <x:c r="H25" s="244"/>
      <x:c r="I25" s="244"/>
      <x:c r="J25" s="244"/>
      <x:c r="K25" s="244"/>
      <x:c r="L25" s="244"/>
      <x:c r="M25" s="244"/>
      <x:c r="N25" s="244"/>
      <x:c r="O25" s="244"/>
      <x:c r="P25" s="244"/>
      <x:c r="Q25" s="244"/>
      <x:c r="R25" s="244"/>
      <x:c r="S25" s="244"/>
      <x:c r="T25" s="244"/>
      <x:c r="U25" s="261"/>
    </x:row>
    <x:row r="26">
      <x:c r="A26" s="3"/>
      <x:c r="B26" s="307" t="n">
        <x:v>46082</x:v>
      </x:c>
      <x:c r="C26" s="287" t="n">
        <x:f>IF($C10=0,0,SUMIFS('Daily Log'!E:E,'Daily Log'!D:D,"Housing",'Daily Log'!B:B,"&gt;="&amp;B26,'Daily Log'!B:B,"&lt;="&amp;EOMONTH(B26,0))/$C10)</x:f>
        <x:v>0.37948717948717947</x:v>
      </x:c>
      <x:c r="D26" s="287" t="n">
        <x:f>IF($C10=0,0,SUMIFS('Daily Log'!E:E,'Daily Log'!D:D,"Transportation",'Daily Log'!B:B,"&gt;="&amp;B26,'Daily Log'!B:B,"&lt;="&amp;EOMONTH(B26,0))/$C10)</x:f>
        <x:v>0.0361025641025641</x:v>
      </x:c>
      <x:c r="E26" s="287" t="n">
        <x:f>IF($C10=0,0,SUMIFS('Daily Log'!E:E,'Daily Log'!D:D,"Groceries",'Daily Log'!B:B,"&gt;="&amp;B26,'Daily Log'!B:B,"&lt;="&amp;EOMONTH(B26,0))/$C10)</x:f>
        <x:v>0</x:v>
      </x:c>
      <x:c r="F26" s="287" t="n">
        <x:f>IF($C10=0,0,SUMIFS('Daily Log'!E:E,'Daily Log'!D:D,"Food &amp; Dining",'Daily Log'!B:B,"&gt;="&amp;B26,'Daily Log'!B:B,"&lt;="&amp;EOMONTH(B26,0))/$C10)</x:f>
        <x:v>0.0036923076923076922</x:v>
      </x:c>
      <x:c r="G26" s="287" t="n">
        <x:f>IF($C10=0,0,SUMIFS('Daily Log'!E:E,'Daily Log'!D:D,"Debt",'Daily Log'!B:B,"&gt;="&amp;B26,'Daily Log'!B:B,"&lt;="&amp;EOMONTH(B26,0))/$C10)</x:f>
        <x:v>0</x:v>
      </x:c>
      <x:c r="H26" s="244"/>
      <x:c r="I26" s="244"/>
      <x:c r="J26" s="244"/>
      <x:c r="K26" s="244"/>
      <x:c r="L26" s="244"/>
      <x:c r="M26" s="244"/>
      <x:c r="N26" s="244"/>
      <x:c r="O26" s="244"/>
      <x:c r="P26" s="244"/>
      <x:c r="Q26" s="244"/>
      <x:c r="R26" s="244"/>
      <x:c r="S26" s="244"/>
      <x:c r="T26" s="244"/>
      <x:c r="U26" s="261"/>
    </x:row>
    <x:row r="27">
      <x:c r="A27" s="3"/>
      <x:c r="B27" s="307" t="n">
        <x:v>46113</x:v>
      </x:c>
      <x:c r="C27" s="287" t="n">
        <x:f>IF($C11=0,0,SUMIFS('Daily Log'!E:E,'Daily Log'!D:D,"Housing",'Daily Log'!B:B,"&gt;="&amp;B27,'Daily Log'!B:B,"&lt;="&amp;EOMONTH(B27,0))/$C11)</x:f>
        <x:v>0</x:v>
      </x:c>
      <x:c r="D27" s="287" t="n">
        <x:f>IF($C11=0,0,SUMIFS('Daily Log'!E:E,'Daily Log'!D:D,"Transportation",'Daily Log'!B:B,"&gt;="&amp;B27,'Daily Log'!B:B,"&lt;="&amp;EOMONTH(B27,0))/$C11)</x:f>
        <x:v>0</x:v>
      </x:c>
      <x:c r="E27" s="287" t="n">
        <x:f>IF($C11=0,0,SUMIFS('Daily Log'!E:E,'Daily Log'!D:D,"Groceries",'Daily Log'!B:B,"&gt;="&amp;B27,'Daily Log'!B:B,"&lt;="&amp;EOMONTH(B27,0))/$C11)</x:f>
        <x:v>0</x:v>
      </x:c>
      <x:c r="F27" s="287" t="n">
        <x:f>IF($C11=0,0,SUMIFS('Daily Log'!E:E,'Daily Log'!D:D,"Food &amp; Dining",'Daily Log'!B:B,"&gt;="&amp;B27,'Daily Log'!B:B,"&lt;="&amp;EOMONTH(B27,0))/$C11)</x:f>
        <x:v>0</x:v>
      </x:c>
      <x:c r="G27" s="287" t="n">
        <x:f>IF($C11=0,0,SUMIFS('Daily Log'!E:E,'Daily Log'!D:D,"Debt",'Daily Log'!B:B,"&gt;="&amp;B27,'Daily Log'!B:B,"&lt;="&amp;EOMONTH(B27,0))/$C11)</x:f>
        <x:v>0</x:v>
      </x:c>
      <x:c r="H27" s="244"/>
      <x:c r="I27" s="244"/>
      <x:c r="J27" s="244"/>
      <x:c r="K27" s="244"/>
      <x:c r="L27" s="244"/>
      <x:c r="M27" s="244"/>
      <x:c r="N27" s="244"/>
      <x:c r="O27" s="244"/>
      <x:c r="P27" s="244"/>
      <x:c r="Q27" s="244"/>
      <x:c r="R27" s="244"/>
      <x:c r="S27" s="244"/>
      <x:c r="T27" s="244"/>
      <x:c r="U27" s="261"/>
    </x:row>
    <x:row r="28">
      <x:c r="A28" s="3"/>
      <x:c r="B28" s="307" t="n">
        <x:v>46143</x:v>
      </x:c>
      <x:c r="C28" s="287" t="n">
        <x:f>IF($C12=0,0,SUMIFS('Daily Log'!E:E,'Daily Log'!D:D,"Housing",'Daily Log'!B:B,"&gt;="&amp;B28,'Daily Log'!B:B,"&lt;="&amp;EOMONTH(B28,0))/$C12)</x:f>
        <x:v>0</x:v>
      </x:c>
      <x:c r="D28" s="287" t="n">
        <x:f>IF($C12=0,0,SUMIFS('Daily Log'!E:E,'Daily Log'!D:D,"Transportation",'Daily Log'!B:B,"&gt;="&amp;B28,'Daily Log'!B:B,"&lt;="&amp;EOMONTH(B28,0))/$C12)</x:f>
        <x:v>0</x:v>
      </x:c>
      <x:c r="E28" s="287" t="n">
        <x:f>IF($C12=0,0,SUMIFS('Daily Log'!E:E,'Daily Log'!D:D,"Groceries",'Daily Log'!B:B,"&gt;="&amp;B28,'Daily Log'!B:B,"&lt;="&amp;EOMONTH(B28,0))/$C12)</x:f>
        <x:v>0</x:v>
      </x:c>
      <x:c r="F28" s="287" t="n">
        <x:f>IF($C12=0,0,SUMIFS('Daily Log'!E:E,'Daily Log'!D:D,"Food &amp; Dining",'Daily Log'!B:B,"&gt;="&amp;B28,'Daily Log'!B:B,"&lt;="&amp;EOMONTH(B28,0))/$C12)</x:f>
        <x:v>0</x:v>
      </x:c>
      <x:c r="G28" s="287" t="n">
        <x:f>IF($C12=0,0,SUMIFS('Daily Log'!E:E,'Daily Log'!D:D,"Debt",'Daily Log'!B:B,"&gt;="&amp;B28,'Daily Log'!B:B,"&lt;="&amp;EOMONTH(B28,0))/$C12)</x:f>
        <x:v>0</x:v>
      </x:c>
      <x:c r="H28" s="244"/>
      <x:c r="I28" s="244"/>
      <x:c r="J28" s="244"/>
      <x:c r="K28" s="244"/>
      <x:c r="L28" s="244"/>
      <x:c r="M28" s="244"/>
      <x:c r="N28" s="244"/>
      <x:c r="O28" s="244"/>
      <x:c r="P28" s="244"/>
      <x:c r="Q28" s="244"/>
      <x:c r="R28" s="244"/>
      <x:c r="S28" s="244"/>
      <x:c r="T28" s="244"/>
      <x:c r="U28" s="261"/>
    </x:row>
    <x:row r="29">
      <x:c r="A29" s="3"/>
      <x:c r="B29" s="307" t="n">
        <x:v>46174</x:v>
      </x:c>
      <x:c r="C29" s="287" t="n">
        <x:f>IF($C13=0,0,SUMIFS('Daily Log'!E:E,'Daily Log'!D:D,"Housing",'Daily Log'!B:B,"&gt;="&amp;B29,'Daily Log'!B:B,"&lt;="&amp;EOMONTH(B29,0))/$C13)</x:f>
        <x:v>0.38144329896907214</x:v>
      </x:c>
      <x:c r="D29" s="287" t="n">
        <x:f>IF($C13=0,0,SUMIFS('Daily Log'!E:E,'Daily Log'!D:D,"Transportation",'Daily Log'!B:B,"&gt;="&amp;B29,'Daily Log'!B:B,"&lt;="&amp;EOMONTH(B29,0))/$C13)</x:f>
        <x:v>0</x:v>
      </x:c>
      <x:c r="E29" s="287" t="n">
        <x:f>IF($C13=0,0,SUMIFS('Daily Log'!E:E,'Daily Log'!D:D,"Groceries",'Daily Log'!B:B,"&gt;="&amp;B29,'Daily Log'!B:B,"&lt;="&amp;EOMONTH(B29,0))/$C13)</x:f>
        <x:v>0.02309278350515464</x:v>
      </x:c>
      <x:c r="F29" s="287" t="n">
        <x:f>IF($C13=0,0,SUMIFS('Daily Log'!E:E,'Daily Log'!D:D,"Food &amp; Dining",'Daily Log'!B:B,"&gt;="&amp;B29,'Daily Log'!B:B,"&lt;="&amp;EOMONTH(B29,0))/$C13)</x:f>
        <x:v>0.003711340206185567</x:v>
      </x:c>
      <x:c r="G29" s="287" t="n">
        <x:f>IF($C13=0,0,SUMIFS('Daily Log'!E:E,'Daily Log'!D:D,"Debt",'Daily Log'!B:B,"&gt;="&amp;B29,'Daily Log'!B:B,"&lt;="&amp;EOMONTH(B29,0))/$C13)</x:f>
        <x:v>0</x:v>
      </x:c>
      <x:c r="H29" s="244"/>
      <x:c r="I29" s="244"/>
      <x:c r="J29" s="244"/>
      <x:c r="K29" s="244"/>
      <x:c r="L29" s="244"/>
      <x:c r="M29" s="244"/>
      <x:c r="N29" s="244"/>
      <x:c r="O29" s="244"/>
      <x:c r="P29" s="244"/>
      <x:c r="Q29" s="244"/>
      <x:c r="R29" s="244"/>
      <x:c r="S29" s="244"/>
      <x:c r="T29" s="244"/>
      <x:c r="U29" s="261"/>
    </x:row>
    <x:row r="30">
      <x:c r="A30" s="3"/>
      <x:c r="B30" s="307" t="n">
        <x:v>46204</x:v>
      </x:c>
      <x:c r="C30" s="287" t="n">
        <x:f>IF($C14=0,0,SUMIFS('Daily Log'!E:E,'Daily Log'!D:D,"Housing",'Daily Log'!B:B,"&gt;="&amp;B30,'Daily Log'!B:B,"&lt;="&amp;EOMONTH(B30,0))/$C14)</x:f>
        <x:v>0</x:v>
      </x:c>
      <x:c r="D30" s="287" t="n">
        <x:f>IF($C14=0,0,SUMIFS('Daily Log'!E:E,'Daily Log'!D:D,"Transportation",'Daily Log'!B:B,"&gt;="&amp;B30,'Daily Log'!B:B,"&lt;="&amp;EOMONTH(B30,0))/$C14)</x:f>
        <x:v>0</x:v>
      </x:c>
      <x:c r="E30" s="287" t="n">
        <x:f>IF($C14=0,0,SUMIFS('Daily Log'!E:E,'Daily Log'!D:D,"Groceries",'Daily Log'!B:B,"&gt;="&amp;B30,'Daily Log'!B:B,"&lt;="&amp;EOMONTH(B30,0))/$C14)</x:f>
        <x:v>0</x:v>
      </x:c>
      <x:c r="F30" s="287" t="n">
        <x:f>IF($C14=0,0,SUMIFS('Daily Log'!E:E,'Daily Log'!D:D,"Food &amp; Dining",'Daily Log'!B:B,"&gt;="&amp;B30,'Daily Log'!B:B,"&lt;="&amp;EOMONTH(B30,0))/$C14)</x:f>
        <x:v>0</x:v>
      </x:c>
      <x:c r="G30" s="287" t="n">
        <x:f>IF($C14=0,0,SUMIFS('Daily Log'!E:E,'Daily Log'!D:D,"Debt",'Daily Log'!B:B,"&gt;="&amp;B30,'Daily Log'!B:B,"&lt;="&amp;EOMONTH(B30,0))/$C14)</x:f>
        <x:v>0</x:v>
      </x:c>
      <x:c r="H30" s="244"/>
      <x:c r="I30" s="244"/>
      <x:c r="J30" s="244"/>
      <x:c r="K30" s="244"/>
      <x:c r="L30" s="244"/>
      <x:c r="M30" s="244"/>
      <x:c r="N30" s="244"/>
      <x:c r="O30" s="244"/>
      <x:c r="P30" s="244"/>
      <x:c r="Q30" s="244"/>
      <x:c r="R30" s="244"/>
      <x:c r="S30" s="244"/>
      <x:c r="T30" s="244"/>
      <x:c r="U30" s="261"/>
    </x:row>
    <x:row r="31">
      <x:c r="A31" s="3"/>
      <x:c r="B31" s="307" t="n">
        <x:v>46235</x:v>
      </x:c>
      <x:c r="C31" s="287" t="n">
        <x:f>IF($C15=0,0,SUMIFS('Daily Log'!E:E,'Daily Log'!D:D,"Housing",'Daily Log'!B:B,"&gt;="&amp;B31,'Daily Log'!B:B,"&lt;="&amp;EOMONTH(B31,0))/$C15)</x:f>
        <x:v>0</x:v>
      </x:c>
      <x:c r="D31" s="287" t="n">
        <x:f>IF($C15=0,0,SUMIFS('Daily Log'!E:E,'Daily Log'!D:D,"Transportation",'Daily Log'!B:B,"&gt;="&amp;B31,'Daily Log'!B:B,"&lt;="&amp;EOMONTH(B31,0))/$C15)</x:f>
        <x:v>0</x:v>
      </x:c>
      <x:c r="E31" s="287" t="n">
        <x:f>IF($C15=0,0,SUMIFS('Daily Log'!E:E,'Daily Log'!D:D,"Groceries",'Daily Log'!B:B,"&gt;="&amp;B31,'Daily Log'!B:B,"&lt;="&amp;EOMONTH(B31,0))/$C15)</x:f>
        <x:v>0</x:v>
      </x:c>
      <x:c r="F31" s="287" t="n">
        <x:f>IF($C15=0,0,SUMIFS('Daily Log'!E:E,'Daily Log'!D:D,"Food &amp; Dining",'Daily Log'!B:B,"&gt;="&amp;B31,'Daily Log'!B:B,"&lt;="&amp;EOMONTH(B31,0))/$C15)</x:f>
        <x:v>0</x:v>
      </x:c>
      <x:c r="G31" s="287" t="n">
        <x:f>IF($C15=0,0,SUMIFS('Daily Log'!E:E,'Daily Log'!D:D,"Debt",'Daily Log'!B:B,"&gt;="&amp;B31,'Daily Log'!B:B,"&lt;="&amp;EOMONTH(B31,0))/$C15)</x:f>
        <x:v>0</x:v>
      </x:c>
      <x:c r="H31" s="244"/>
      <x:c r="I31" s="244"/>
      <x:c r="J31" s="244"/>
      <x:c r="K31" s="244"/>
      <x:c r="L31" s="244"/>
      <x:c r="M31" s="244"/>
      <x:c r="N31" s="244"/>
      <x:c r="O31" s="244"/>
      <x:c r="P31" s="244"/>
      <x:c r="Q31" s="244"/>
      <x:c r="R31" s="244"/>
      <x:c r="S31" s="244"/>
      <x:c r="T31" s="244"/>
      <x:c r="U31" s="261"/>
    </x:row>
    <x:row r="32">
      <x:c r="A32" s="3"/>
      <x:c r="B32" s="307" t="n">
        <x:v>46266</x:v>
      </x:c>
      <x:c r="C32" s="287" t="n">
        <x:f>IF($C16=0,0,SUMIFS('Daily Log'!E:E,'Daily Log'!D:D,"Housing",'Daily Log'!B:B,"&gt;="&amp;B32,'Daily Log'!B:B,"&lt;="&amp;EOMONTH(B32,0))/$C16)</x:f>
        <x:v>0</x:v>
      </x:c>
      <x:c r="D32" s="287" t="n">
        <x:f>IF($C16=0,0,SUMIFS('Daily Log'!E:E,'Daily Log'!D:D,"Transportation",'Daily Log'!B:B,"&gt;="&amp;B32,'Daily Log'!B:B,"&lt;="&amp;EOMONTH(B32,0))/$C16)</x:f>
        <x:v>0</x:v>
      </x:c>
      <x:c r="E32" s="287" t="n">
        <x:f>IF($C16=0,0,SUMIFS('Daily Log'!E:E,'Daily Log'!D:D,"Groceries",'Daily Log'!B:B,"&gt;="&amp;B32,'Daily Log'!B:B,"&lt;="&amp;EOMONTH(B32,0))/$C16)</x:f>
        <x:v>0</x:v>
      </x:c>
      <x:c r="F32" s="287" t="n">
        <x:f>IF($C16=0,0,SUMIFS('Daily Log'!E:E,'Daily Log'!D:D,"Food &amp; Dining",'Daily Log'!B:B,"&gt;="&amp;B32,'Daily Log'!B:B,"&lt;="&amp;EOMONTH(B32,0))/$C16)</x:f>
        <x:v>0</x:v>
      </x:c>
      <x:c r="G32" s="287" t="n">
        <x:f>IF($C16=0,0,SUMIFS('Daily Log'!E:E,'Daily Log'!D:D,"Debt",'Daily Log'!B:B,"&gt;="&amp;B32,'Daily Log'!B:B,"&lt;="&amp;EOMONTH(B32,0))/$C16)</x:f>
        <x:v>0</x:v>
      </x:c>
      <x:c r="H32" s="244"/>
      <x:c r="I32" s="244"/>
      <x:c r="J32" s="244"/>
      <x:c r="K32" s="244"/>
      <x:c r="L32" s="244"/>
      <x:c r="M32" s="244"/>
      <x:c r="N32" s="244"/>
      <x:c r="O32" s="244"/>
      <x:c r="P32" s="244"/>
      <x:c r="Q32" s="244"/>
      <x:c r="R32" s="244"/>
      <x:c r="S32" s="244"/>
      <x:c r="T32" s="244"/>
      <x:c r="U32" s="261"/>
    </x:row>
    <x:row r="33">
      <x:c r="A33" s="3"/>
      <x:c r="B33" s="307" t="n">
        <x:v>46296</x:v>
      </x:c>
      <x:c r="C33" s="287" t="n">
        <x:f>IF($C17=0,0,SUMIFS('Daily Log'!E:E,'Daily Log'!D:D,"Housing",'Daily Log'!B:B,"&gt;="&amp;B33,'Daily Log'!B:B,"&lt;="&amp;EOMONTH(B33,0))/$C17)</x:f>
        <x:v>0</x:v>
      </x:c>
      <x:c r="D33" s="287" t="n">
        <x:f>IF($C17=0,0,SUMIFS('Daily Log'!E:E,'Daily Log'!D:D,"Transportation",'Daily Log'!B:B,"&gt;="&amp;B33,'Daily Log'!B:B,"&lt;="&amp;EOMONTH(B33,0))/$C17)</x:f>
        <x:v>0</x:v>
      </x:c>
      <x:c r="E33" s="287" t="n">
        <x:f>IF($C17=0,0,SUMIFS('Daily Log'!E:E,'Daily Log'!D:D,"Groceries",'Daily Log'!B:B,"&gt;="&amp;B33,'Daily Log'!B:B,"&lt;="&amp;EOMONTH(B33,0))/$C17)</x:f>
        <x:v>0</x:v>
      </x:c>
      <x:c r="F33" s="287" t="n">
        <x:f>IF($C17=0,0,SUMIFS('Daily Log'!E:E,'Daily Log'!D:D,"Food &amp; Dining",'Daily Log'!B:B,"&gt;="&amp;B33,'Daily Log'!B:B,"&lt;="&amp;EOMONTH(B33,0))/$C17)</x:f>
        <x:v>0</x:v>
      </x:c>
      <x:c r="G33" s="287" t="n">
        <x:f>IF($C17=0,0,SUMIFS('Daily Log'!E:E,'Daily Log'!D:D,"Debt",'Daily Log'!B:B,"&gt;="&amp;B33,'Daily Log'!B:B,"&lt;="&amp;EOMONTH(B33,0))/$C17)</x:f>
        <x:v>0</x:v>
      </x:c>
      <x:c r="H33" s="244"/>
      <x:c r="I33" s="244"/>
      <x:c r="J33" s="244"/>
      <x:c r="K33" s="244"/>
      <x:c r="L33" s="244"/>
      <x:c r="M33" s="244"/>
      <x:c r="N33" s="244"/>
      <x:c r="O33" s="244"/>
      <x:c r="P33" s="244"/>
      <x:c r="Q33" s="244"/>
      <x:c r="R33" s="244"/>
      <x:c r="S33" s="244"/>
      <x:c r="T33" s="244"/>
      <x:c r="U33" s="261"/>
    </x:row>
    <x:row r="34">
      <x:c r="A34" s="3"/>
      <x:c r="B34" s="307" t="n">
        <x:v>46327</x:v>
      </x:c>
      <x:c r="C34" s="287" t="n">
        <x:f>IF($C18=0,0,SUMIFS('Daily Log'!E:E,'Daily Log'!D:D,"Housing",'Daily Log'!B:B,"&gt;="&amp;B34,'Daily Log'!B:B,"&lt;="&amp;EOMONTH(B34,0))/$C18)</x:f>
        <x:v>0</x:v>
      </x:c>
      <x:c r="D34" s="287" t="n">
        <x:f>IF($C18=0,0,SUMIFS('Daily Log'!E:E,'Daily Log'!D:D,"Transportation",'Daily Log'!B:B,"&gt;="&amp;B34,'Daily Log'!B:B,"&lt;="&amp;EOMONTH(B34,0))/$C18)</x:f>
        <x:v>0</x:v>
      </x:c>
      <x:c r="E34" s="287" t="n">
        <x:f>IF($C18=0,0,SUMIFS('Daily Log'!E:E,'Daily Log'!D:D,"Groceries",'Daily Log'!B:B,"&gt;="&amp;B34,'Daily Log'!B:B,"&lt;="&amp;EOMONTH(B34,0))/$C18)</x:f>
        <x:v>0</x:v>
      </x:c>
      <x:c r="F34" s="287" t="n">
        <x:f>IF($C18=0,0,SUMIFS('Daily Log'!E:E,'Daily Log'!D:D,"Food &amp; Dining",'Daily Log'!B:B,"&gt;="&amp;B34,'Daily Log'!B:B,"&lt;="&amp;EOMONTH(B34,0))/$C18)</x:f>
        <x:v>0</x:v>
      </x:c>
      <x:c r="G34" s="287" t="n">
        <x:f>IF($C18=0,0,SUMIFS('Daily Log'!E:E,'Daily Log'!D:D,"Debt",'Daily Log'!B:B,"&gt;="&amp;B34,'Daily Log'!B:B,"&lt;="&amp;EOMONTH(B34,0))/$C18)</x:f>
        <x:v>0</x:v>
      </x:c>
      <x:c r="H34" s="244"/>
      <x:c r="I34" s="244"/>
      <x:c r="J34" s="244"/>
      <x:c r="K34" s="244"/>
      <x:c r="L34" s="244"/>
      <x:c r="M34" s="244"/>
      <x:c r="N34" s="244"/>
      <x:c r="O34" s="244"/>
      <x:c r="P34" s="244"/>
      <x:c r="Q34" s="244"/>
      <x:c r="R34" s="244"/>
      <x:c r="S34" s="244"/>
      <x:c r="T34" s="244"/>
      <x:c r="U34" s="261"/>
    </x:row>
    <x:row r="35">
      <x:c r="A35" s="3"/>
      <x:c r="B35" s="307" t="n">
        <x:v>46357</x:v>
      </x:c>
      <x:c r="C35" s="287" t="n">
        <x:f>IF($C19=0,0,SUMIFS('Daily Log'!E:E,'Daily Log'!D:D,"Housing",'Daily Log'!B:B,"&gt;="&amp;B35,'Daily Log'!B:B,"&lt;="&amp;EOMONTH(B35,0))/$C19)</x:f>
        <x:v>0</x:v>
      </x:c>
      <x:c r="D35" s="287" t="n">
        <x:f>IF($C19=0,0,SUMIFS('Daily Log'!E:E,'Daily Log'!D:D,"Transportation",'Daily Log'!B:B,"&gt;="&amp;B35,'Daily Log'!B:B,"&lt;="&amp;EOMONTH(B35,0))/$C19)</x:f>
        <x:v>0</x:v>
      </x:c>
      <x:c r="E35" s="287" t="n">
        <x:f>IF($C19=0,0,SUMIFS('Daily Log'!E:E,'Daily Log'!D:D,"Groceries",'Daily Log'!B:B,"&gt;="&amp;B35,'Daily Log'!B:B,"&lt;="&amp;EOMONTH(B35,0))/$C19)</x:f>
        <x:v>0</x:v>
      </x:c>
      <x:c r="F35" s="287" t="n">
        <x:f>IF($C19=0,0,SUMIFS('Daily Log'!E:E,'Daily Log'!D:D,"Food &amp; Dining",'Daily Log'!B:B,"&gt;="&amp;B35,'Daily Log'!B:B,"&lt;="&amp;EOMONTH(B35,0))/$C19)</x:f>
        <x:v>0</x:v>
      </x:c>
      <x:c r="G35" s="287" t="n">
        <x:f>IF($C19=0,0,SUMIFS('Daily Log'!E:E,'Daily Log'!D:D,"Debt",'Daily Log'!B:B,"&gt;="&amp;B35,'Daily Log'!B:B,"&lt;="&amp;EOMONTH(B35,0))/$C19)</x:f>
        <x:v>0</x:v>
      </x:c>
      <x:c r="H35" s="244"/>
      <x:c r="I35" s="244"/>
      <x:c r="J35" s="244"/>
      <x:c r="K35" s="244"/>
      <x:c r="L35" s="244"/>
      <x:c r="M35" s="244"/>
      <x:c r="N35" s="244"/>
      <x:c r="O35" s="244"/>
      <x:c r="P35" s="244"/>
      <x:c r="Q35" s="244"/>
      <x:c r="R35" s="244"/>
      <x:c r="S35" s="244"/>
      <x:c r="T35" s="244"/>
      <x:c r="U35" s="261"/>
    </x:row>
    <x:row r="36">
      <x:c r="A36" s="3"/>
      <x:c r="B36" s="262"/>
      <x:c r="C36" s="244"/>
      <x:c r="D36" s="244"/>
      <x:c r="E36" s="244"/>
      <x:c r="F36" s="244"/>
      <x:c r="G36" s="244"/>
      <x:c r="H36" s="244"/>
      <x:c r="I36" s="244"/>
      <x:c r="J36" s="244"/>
      <x:c r="K36" s="244"/>
      <x:c r="L36" s="244"/>
      <x:c r="M36" s="244"/>
      <x:c r="N36" s="244"/>
      <x:c r="O36" s="244"/>
      <x:c r="P36" s="244"/>
      <x:c r="Q36" s="244"/>
      <x:c r="R36" s="244"/>
      <x:c r="S36" s="244"/>
      <x:c r="T36" s="244"/>
      <x:c r="U36" s="261"/>
    </x:row>
    <x:row r="37">
      <x:c r="A37" s="3"/>
      <x:c r="B37" s="262"/>
      <x:c r="C37" s="244"/>
      <x:c r="D37" s="244"/>
      <x:c r="E37" s="244"/>
      <x:c r="F37" s="244"/>
      <x:c r="G37" s="244"/>
      <x:c r="H37" s="244"/>
      <x:c r="I37" s="244"/>
      <x:c r="J37" s="244"/>
      <x:c r="K37" s="244"/>
      <x:c r="L37" s="244"/>
      <x:c r="M37" s="244"/>
      <x:c r="N37" s="244"/>
      <x:c r="O37" s="244"/>
      <x:c r="P37" s="244"/>
      <x:c r="Q37" s="244"/>
      <x:c r="R37" s="244"/>
      <x:c r="S37" s="244"/>
      <x:c r="T37" s="244"/>
      <x:c r="U37" s="261"/>
    </x:row>
    <x:row r="38">
      <x:c r="A38" s="3"/>
      <x:c r="B38" s="262"/>
      <x:c r="C38" s="244"/>
      <x:c r="D38" s="244"/>
      <x:c r="E38" s="244"/>
      <x:c r="F38" s="244"/>
      <x:c r="G38" s="244"/>
      <x:c r="H38" s="244"/>
      <x:c r="I38" s="244"/>
      <x:c r="J38" s="244"/>
      <x:c r="K38" s="244"/>
      <x:c r="L38" s="244"/>
      <x:c r="M38" s="244"/>
      <x:c r="N38" s="244"/>
      <x:c r="O38" s="244"/>
      <x:c r="P38" s="244"/>
      <x:c r="Q38" s="244"/>
      <x:c r="R38" s="244"/>
      <x:c r="S38" s="244"/>
      <x:c r="T38" s="244"/>
      <x:c r="U38" s="261"/>
    </x:row>
    <x:row r="39">
      <x:c r="A39" s="3"/>
      <x:c r="B39" s="262"/>
      <x:c r="C39" s="244"/>
      <x:c r="D39" s="244"/>
      <x:c r="E39" s="244"/>
      <x:c r="F39" s="244"/>
      <x:c r="G39" s="244"/>
      <x:c r="H39" s="244"/>
      <x:c r="I39" s="244"/>
      <x:c r="J39" s="244"/>
      <x:c r="K39" s="244"/>
      <x:c r="L39" s="244"/>
      <x:c r="M39" s="244"/>
      <x:c r="N39" s="244"/>
      <x:c r="O39" s="244"/>
      <x:c r="P39" s="244"/>
      <x:c r="Q39" s="244"/>
      <x:c r="R39" s="244"/>
      <x:c r="S39" s="244"/>
      <x:c r="T39" s="244"/>
      <x:c r="U39" s="261"/>
    </x:row>
    <x:row r="40">
      <x:c r="A40" s="3"/>
      <x:c r="B40" s="262"/>
      <x:c r="C40" s="244"/>
      <x:c r="D40" s="244"/>
      <x:c r="E40" s="244"/>
      <x:c r="F40" s="244"/>
      <x:c r="G40" s="244"/>
      <x:c r="H40" s="244"/>
      <x:c r="I40" s="244"/>
      <x:c r="J40" s="244"/>
      <x:c r="K40" s="244"/>
      <x:c r="L40" s="244"/>
      <x:c r="M40" s="244"/>
      <x:c r="N40" s="244"/>
      <x:c r="O40" s="244"/>
      <x:c r="P40" s="244"/>
      <x:c r="Q40" s="244"/>
      <x:c r="R40" s="244"/>
      <x:c r="S40" s="244"/>
      <x:c r="T40" s="244"/>
      <x:c r="U40" s="261"/>
    </x:row>
    <x:row r="41">
      <x:c r="A41" s="3"/>
      <x:c r="B41" s="262"/>
      <x:c r="C41" s="244"/>
      <x:c r="D41" s="244"/>
      <x:c r="E41" s="244"/>
      <x:c r="F41" s="244"/>
      <x:c r="G41" s="244"/>
      <x:c r="H41" s="244"/>
      <x:c r="I41" s="244"/>
      <x:c r="J41" s="244"/>
      <x:c r="K41" s="244"/>
      <x:c r="L41" s="244"/>
      <x:c r="M41" s="244"/>
      <x:c r="N41" s="244"/>
      <x:c r="O41" s="244"/>
      <x:c r="P41" s="244"/>
      <x:c r="Q41" s="244"/>
      <x:c r="R41" s="244"/>
      <x:c r="S41" s="244"/>
      <x:c r="T41" s="244"/>
      <x:c r="U41" s="261"/>
    </x:row>
    <x:row r="42">
      <x:c r="A42" s="3"/>
      <x:c r="B42" s="262"/>
      <x:c r="C42" s="244"/>
      <x:c r="D42" s="244"/>
      <x:c r="E42" s="244"/>
      <x:c r="F42" s="244"/>
      <x:c r="G42" s="244"/>
      <x:c r="H42" s="244"/>
      <x:c r="I42" s="244"/>
      <x:c r="J42" s="244"/>
      <x:c r="K42" s="244"/>
      <x:c r="L42" s="244"/>
      <x:c r="M42" s="244"/>
      <x:c r="N42" s="244"/>
      <x:c r="O42" s="244"/>
      <x:c r="P42" s="244"/>
      <x:c r="Q42" s="244"/>
      <x:c r="R42" s="244"/>
      <x:c r="S42" s="244"/>
      <x:c r="T42" s="244"/>
      <x:c r="U42" s="261"/>
    </x:row>
    <x:row r="43">
      <x:c r="A43" s="3"/>
      <x:c r="B43" s="262"/>
      <x:c r="C43" s="244"/>
      <x:c r="D43" s="244"/>
      <x:c r="E43" s="244"/>
      <x:c r="F43" s="244"/>
      <x:c r="G43" s="244"/>
      <x:c r="H43" s="244"/>
      <x:c r="I43" s="244"/>
      <x:c r="J43" s="244"/>
      <x:c r="K43" s="244"/>
      <x:c r="L43" s="244"/>
      <x:c r="M43" s="244"/>
      <x:c r="N43" s="244"/>
      <x:c r="O43" s="244"/>
      <x:c r="P43" s="244"/>
      <x:c r="Q43" s="244"/>
      <x:c r="R43" s="244"/>
      <x:c r="S43" s="244"/>
      <x:c r="T43" s="244"/>
      <x:c r="U43" s="261"/>
    </x:row>
    <x:row r="44">
      <x:c r="A44" s="3"/>
      <x:c r="B44" s="262"/>
      <x:c r="C44" s="244"/>
      <x:c r="D44" s="244"/>
      <x:c r="E44" s="244"/>
      <x:c r="F44" s="244"/>
      <x:c r="G44" s="244"/>
      <x:c r="H44" s="244"/>
      <x:c r="I44" s="244"/>
      <x:c r="J44" s="244"/>
      <x:c r="K44" s="244"/>
      <x:c r="L44" s="244"/>
      <x:c r="M44" s="244"/>
      <x:c r="N44" s="244"/>
      <x:c r="O44" s="244"/>
      <x:c r="P44" s="244"/>
      <x:c r="Q44" s="244"/>
      <x:c r="R44" s="244"/>
      <x:c r="S44" s="244"/>
      <x:c r="T44" s="244"/>
      <x:c r="U44" s="261"/>
    </x:row>
    <x:row r="45">
      <x:c r="A45" s="3"/>
      <x:c r="B45" s="262"/>
      <x:c r="C45" s="244"/>
      <x:c r="D45" s="244"/>
      <x:c r="E45" s="244"/>
      <x:c r="F45" s="244"/>
      <x:c r="G45" s="244"/>
      <x:c r="H45" s="244"/>
      <x:c r="I45" s="244"/>
      <x:c r="J45" s="244"/>
      <x:c r="K45" s="244"/>
      <x:c r="L45" s="244"/>
      <x:c r="M45" s="244"/>
      <x:c r="N45" s="244"/>
      <x:c r="O45" s="244"/>
      <x:c r="P45" s="244"/>
      <x:c r="Q45" s="244"/>
      <x:c r="R45" s="244"/>
      <x:c r="S45" s="244"/>
      <x:c r="T45" s="244"/>
      <x:c r="U45" s="261"/>
    </x:row>
    <x:row r="46">
      <x:c r="A46" s="3"/>
      <x:c r="B46" s="262"/>
      <x:c r="C46" s="244"/>
      <x:c r="D46" s="244"/>
      <x:c r="E46" s="244"/>
      <x:c r="F46" s="244"/>
      <x:c r="G46" s="244"/>
      <x:c r="H46" s="244"/>
      <x:c r="I46" s="244"/>
      <x:c r="J46" s="244"/>
      <x:c r="K46" s="244"/>
      <x:c r="L46" s="244"/>
      <x:c r="M46" s="244"/>
      <x:c r="N46" s="244"/>
      <x:c r="O46" s="244"/>
      <x:c r="P46" s="244"/>
      <x:c r="Q46" s="244"/>
      <x:c r="R46" s="244"/>
      <x:c r="S46" s="244"/>
      <x:c r="T46" s="244"/>
      <x:c r="U46" s="261"/>
    </x:row>
    <x:row r="47">
      <x:c r="A47" s="3"/>
      <x:c r="B47" s="262"/>
      <x:c r="C47" s="244"/>
      <x:c r="D47" s="244"/>
      <x:c r="E47" s="244"/>
      <x:c r="F47" s="244"/>
      <x:c r="G47" s="244"/>
      <x:c r="H47" s="244"/>
      <x:c r="I47" s="244"/>
      <x:c r="J47" s="244"/>
      <x:c r="K47" s="244"/>
      <x:c r="L47" s="244"/>
      <x:c r="M47" s="244"/>
      <x:c r="N47" s="244"/>
      <x:c r="O47" s="244"/>
      <x:c r="P47" s="244"/>
      <x:c r="Q47" s="244"/>
      <x:c r="R47" s="244"/>
      <x:c r="S47" s="244"/>
      <x:c r="T47" s="244"/>
      <x:c r="U47" s="261"/>
    </x:row>
    <x:row r="48">
      <x:c r="A48" s="3"/>
      <x:c r="B48" s="262"/>
      <x:c r="C48" s="244"/>
      <x:c r="D48" s="244"/>
      <x:c r="E48" s="244"/>
      <x:c r="F48" s="244"/>
      <x:c r="G48" s="244"/>
      <x:c r="H48" s="244"/>
      <x:c r="I48" s="244"/>
      <x:c r="J48" s="244"/>
      <x:c r="K48" s="244"/>
      <x:c r="L48" s="244"/>
      <x:c r="M48" s="244"/>
      <x:c r="N48" s="244"/>
      <x:c r="O48" s="244"/>
      <x:c r="P48" s="244"/>
      <x:c r="Q48" s="244"/>
      <x:c r="R48" s="244"/>
      <x:c r="S48" s="244"/>
      <x:c r="T48" s="244"/>
      <x:c r="U48" s="261"/>
    </x:row>
    <x:row r="49">
      <x:c r="A49" s="3"/>
      <x:c r="B49" s="262"/>
      <x:c r="C49" s="244"/>
      <x:c r="D49" s="244"/>
      <x:c r="E49" s="244"/>
      <x:c r="F49" s="244"/>
      <x:c r="G49" s="244"/>
      <x:c r="H49" s="244"/>
      <x:c r="I49" s="244"/>
      <x:c r="J49" s="244"/>
      <x:c r="K49" s="244"/>
      <x:c r="L49" s="244"/>
      <x:c r="M49" s="244"/>
      <x:c r="N49" s="244"/>
      <x:c r="O49" s="244"/>
      <x:c r="P49" s="244"/>
      <x:c r="Q49" s="244"/>
      <x:c r="R49" s="244"/>
      <x:c r="S49" s="244"/>
      <x:c r="T49" s="244"/>
      <x:c r="U49" s="261"/>
    </x:row>
    <x:row r="50">
      <x:c r="A50" s="3"/>
      <x:c r="B50" s="262"/>
      <x:c r="C50" s="244"/>
      <x:c r="D50" s="244"/>
      <x:c r="E50" s="244"/>
      <x:c r="F50" s="244"/>
      <x:c r="G50" s="244"/>
      <x:c r="H50" s="244"/>
      <x:c r="I50" s="244"/>
      <x:c r="J50" s="244"/>
      <x:c r="K50" s="244"/>
      <x:c r="L50" s="244"/>
      <x:c r="M50" s="244"/>
      <x:c r="N50" s="244"/>
      <x:c r="O50" s="244"/>
      <x:c r="P50" s="244"/>
      <x:c r="Q50" s="244"/>
      <x:c r="R50" s="244"/>
      <x:c r="S50" s="244"/>
      <x:c r="T50" s="244"/>
      <x:c r="U50" s="261"/>
    </x:row>
    <x:row r="51">
      <x:c r="A51" s="3"/>
      <x:c r="B51" s="262"/>
      <x:c r="C51" s="244"/>
      <x:c r="D51" s="244"/>
      <x:c r="E51" s="244"/>
      <x:c r="F51" s="244"/>
      <x:c r="G51" s="244"/>
      <x:c r="H51" s="244"/>
      <x:c r="I51" s="244"/>
      <x:c r="J51" s="244"/>
      <x:c r="K51" s="244"/>
      <x:c r="L51" s="244"/>
      <x:c r="M51" s="244"/>
      <x:c r="N51" s="244"/>
      <x:c r="O51" s="244"/>
      <x:c r="P51" s="244"/>
      <x:c r="Q51" s="244"/>
      <x:c r="R51" s="244"/>
      <x:c r="S51" s="244"/>
      <x:c r="T51" s="244"/>
      <x:c r="U51" s="261"/>
    </x:row>
    <x:row r="52">
      <x:c r="A52" s="3"/>
      <x:c r="B52" s="262"/>
      <x:c r="C52" s="244"/>
      <x:c r="D52" s="244"/>
      <x:c r="E52" s="244"/>
      <x:c r="F52" s="244"/>
      <x:c r="G52" s="244"/>
      <x:c r="H52" s="244"/>
      <x:c r="I52" s="244"/>
      <x:c r="J52" s="244"/>
      <x:c r="K52" s="244"/>
      <x:c r="L52" s="244"/>
      <x:c r="M52" s="244"/>
      <x:c r="N52" s="244"/>
      <x:c r="O52" s="244"/>
      <x:c r="P52" s="244"/>
      <x:c r="Q52" s="244"/>
      <x:c r="R52" s="244"/>
      <x:c r="S52" s="244"/>
      <x:c r="T52" s="244"/>
      <x:c r="U52" s="261"/>
    </x:row>
    <x:row r="53">
      <x:c r="A53" s="3"/>
      <x:c r="B53" s="262"/>
      <x:c r="C53" s="244"/>
      <x:c r="D53" s="244"/>
      <x:c r="E53" s="244"/>
      <x:c r="F53" s="244"/>
      <x:c r="G53" s="244"/>
      <x:c r="H53" s="244"/>
      <x:c r="I53" s="244"/>
      <x:c r="J53" s="244"/>
      <x:c r="K53" s="244"/>
      <x:c r="L53" s="244"/>
      <x:c r="M53" s="244"/>
      <x:c r="N53" s="244"/>
      <x:c r="O53" s="244"/>
      <x:c r="P53" s="244"/>
      <x:c r="Q53" s="244"/>
      <x:c r="R53" s="244"/>
      <x:c r="S53" s="244"/>
      <x:c r="T53" s="244"/>
      <x:c r="U53" s="261"/>
    </x:row>
    <x:row r="54">
      <x:c r="A54" s="3"/>
      <x:c r="B54" s="262"/>
      <x:c r="C54" s="244"/>
      <x:c r="D54" s="244"/>
      <x:c r="E54" s="244"/>
      <x:c r="F54" s="244"/>
      <x:c r="G54" s="244"/>
      <x:c r="H54" s="244"/>
      <x:c r="I54" s="244"/>
      <x:c r="J54" s="244"/>
      <x:c r="K54" s="244"/>
      <x:c r="L54" s="244"/>
      <x:c r="M54" s="244"/>
      <x:c r="N54" s="244"/>
      <x:c r="O54" s="244"/>
      <x:c r="P54" s="244"/>
      <x:c r="Q54" s="244"/>
      <x:c r="R54" s="244"/>
      <x:c r="S54" s="244"/>
      <x:c r="T54" s="244"/>
      <x:c r="U54" s="261"/>
    </x:row>
    <x:row r="55">
      <x:c r="A55" s="3"/>
      <x:c r="B55" s="262"/>
      <x:c r="C55" s="244"/>
      <x:c r="D55" s="244"/>
      <x:c r="E55" s="244"/>
      <x:c r="F55" s="244"/>
      <x:c r="G55" s="244"/>
      <x:c r="H55" s="244"/>
      <x:c r="I55" s="244"/>
      <x:c r="J55" s="244"/>
      <x:c r="K55" s="244"/>
      <x:c r="L55" s="244"/>
      <x:c r="M55" s="244"/>
      <x:c r="N55" s="244"/>
      <x:c r="O55" s="244"/>
      <x:c r="P55" s="244"/>
      <x:c r="Q55" s="244"/>
      <x:c r="R55" s="244"/>
      <x:c r="S55" s="244"/>
      <x:c r="T55" s="244"/>
      <x:c r="U55" s="261"/>
    </x:row>
    <x:row r="56">
      <x:c r="A56" s="3"/>
      <x:c r="B56" s="262"/>
      <x:c r="C56" s="244"/>
      <x:c r="D56" s="244"/>
      <x:c r="E56" s="244"/>
      <x:c r="F56" s="244"/>
      <x:c r="G56" s="244"/>
      <x:c r="H56" s="244"/>
      <x:c r="I56" s="244"/>
      <x:c r="J56" s="244"/>
      <x:c r="K56" s="244"/>
      <x:c r="L56" s="244"/>
      <x:c r="M56" s="244"/>
      <x:c r="N56" s="244"/>
      <x:c r="O56" s="244"/>
      <x:c r="P56" s="244"/>
      <x:c r="Q56" s="244"/>
      <x:c r="R56" s="244"/>
      <x:c r="S56" s="244"/>
      <x:c r="T56" s="244"/>
      <x:c r="U56" s="261"/>
    </x:row>
    <x:row r="57">
      <x:c r="A57" s="3"/>
      <x:c r="B57" s="262"/>
      <x:c r="C57" s="244"/>
      <x:c r="D57" s="244"/>
      <x:c r="E57" s="244"/>
      <x:c r="F57" s="244"/>
      <x:c r="G57" s="244"/>
      <x:c r="H57" s="244"/>
      <x:c r="I57" s="244"/>
      <x:c r="J57" s="244"/>
      <x:c r="K57" s="244"/>
      <x:c r="L57" s="244"/>
      <x:c r="M57" s="244"/>
      <x:c r="N57" s="244"/>
      <x:c r="O57" s="244"/>
      <x:c r="P57" s="244"/>
      <x:c r="Q57" s="244"/>
      <x:c r="R57" s="244"/>
      <x:c r="S57" s="244"/>
      <x:c r="T57" s="244"/>
      <x:c r="U57" s="261"/>
    </x:row>
    <x:row r="58">
      <x:c r="A58" s="3"/>
      <x:c r="B58" s="262"/>
      <x:c r="C58" s="244"/>
      <x:c r="D58" s="244"/>
      <x:c r="E58" s="244"/>
      <x:c r="F58" s="244"/>
      <x:c r="G58" s="244"/>
      <x:c r="H58" s="244"/>
      <x:c r="I58" s="244"/>
      <x:c r="J58" s="244"/>
      <x:c r="K58" s="244"/>
      <x:c r="L58" s="244"/>
      <x:c r="M58" s="244"/>
      <x:c r="N58" s="244"/>
      <x:c r="O58" s="244"/>
      <x:c r="P58" s="244"/>
      <x:c r="Q58" s="244"/>
      <x:c r="R58" s="244"/>
      <x:c r="S58" s="244"/>
      <x:c r="T58" s="244"/>
      <x:c r="U58" s="261"/>
    </x:row>
    <x:row r="59">
      <x:c r="A59" s="3"/>
      <x:c r="B59" s="262"/>
      <x:c r="C59" s="244"/>
      <x:c r="D59" s="244"/>
      <x:c r="E59" s="244"/>
      <x:c r="F59" s="244"/>
      <x:c r="G59" s="244"/>
      <x:c r="H59" s="244"/>
      <x:c r="I59" s="244"/>
      <x:c r="J59" s="244"/>
      <x:c r="K59" s="244"/>
      <x:c r="L59" s="244"/>
      <x:c r="M59" s="244"/>
      <x:c r="N59" s="244"/>
      <x:c r="O59" s="244"/>
      <x:c r="P59" s="244"/>
      <x:c r="Q59" s="244"/>
      <x:c r="R59" s="244"/>
      <x:c r="S59" s="244"/>
      <x:c r="T59" s="244"/>
      <x:c r="U59" s="261"/>
    </x:row>
    <x:row r="60">
      <x:c r="A60" s="3"/>
      <x:c r="B60" s="262"/>
      <x:c r="C60" s="244"/>
      <x:c r="D60" s="244"/>
      <x:c r="E60" s="244"/>
      <x:c r="F60" s="244"/>
      <x:c r="G60" s="244"/>
      <x:c r="H60" s="244"/>
      <x:c r="I60" s="244"/>
      <x:c r="J60" s="244"/>
      <x:c r="K60" s="244"/>
      <x:c r="L60" s="244"/>
      <x:c r="M60" s="244"/>
      <x:c r="N60" s="244"/>
      <x:c r="O60" s="244"/>
      <x:c r="P60" s="244"/>
      <x:c r="Q60" s="244"/>
      <x:c r="R60" s="244"/>
      <x:c r="S60" s="244"/>
      <x:c r="T60" s="244"/>
      <x:c r="U60" s="261"/>
    </x:row>
    <x:row r="61">
      <x:c r="A61" s="3"/>
      <x:c r="B61" s="262"/>
      <x:c r="C61" s="244"/>
      <x:c r="D61" s="244"/>
      <x:c r="E61" s="244"/>
      <x:c r="F61" s="244"/>
      <x:c r="G61" s="244"/>
      <x:c r="H61" s="244"/>
      <x:c r="I61" s="244"/>
      <x:c r="J61" s="244"/>
      <x:c r="K61" s="244"/>
      <x:c r="L61" s="244"/>
      <x:c r="M61" s="244"/>
      <x:c r="N61" s="244"/>
      <x:c r="O61" s="244"/>
      <x:c r="P61" s="244"/>
      <x:c r="Q61" s="244"/>
      <x:c r="R61" s="244"/>
      <x:c r="S61" s="244"/>
      <x:c r="T61" s="244"/>
      <x:c r="U61" s="261"/>
    </x:row>
    <x:row r="62">
      <x:c r="A62" s="3"/>
      <x:c r="B62" s="262"/>
      <x:c r="C62" s="244"/>
      <x:c r="D62" s="244"/>
      <x:c r="E62" s="244"/>
      <x:c r="F62" s="244"/>
      <x:c r="G62" s="244"/>
      <x:c r="H62" s="244"/>
      <x:c r="I62" s="244"/>
      <x:c r="J62" s="244"/>
      <x:c r="K62" s="244"/>
      <x:c r="L62" s="244"/>
      <x:c r="M62" s="244"/>
      <x:c r="N62" s="244"/>
      <x:c r="O62" s="244"/>
      <x:c r="P62" s="244"/>
      <x:c r="Q62" s="244"/>
      <x:c r="R62" s="244"/>
      <x:c r="S62" s="244"/>
      <x:c r="T62" s="244"/>
      <x:c r="U62" s="261"/>
    </x:row>
    <x:row r="63">
      <x:c r="A63" s="3"/>
      <x:c r="B63" s="262"/>
      <x:c r="C63" s="244"/>
      <x:c r="D63" s="244"/>
      <x:c r="E63" s="244"/>
      <x:c r="F63" s="244"/>
      <x:c r="G63" s="244"/>
      <x:c r="H63" s="244"/>
      <x:c r="I63" s="244"/>
      <x:c r="J63" s="244"/>
      <x:c r="K63" s="244"/>
      <x:c r="L63" s="244"/>
      <x:c r="M63" s="244"/>
      <x:c r="N63" s="244"/>
      <x:c r="O63" s="244"/>
      <x:c r="P63" s="244"/>
      <x:c r="Q63" s="244"/>
      <x:c r="R63" s="244"/>
      <x:c r="S63" s="244"/>
      <x:c r="T63" s="244"/>
      <x:c r="U63" s="261"/>
    </x:row>
    <x:row r="64">
      <x:c r="A64" s="3"/>
      <x:c r="B64" s="262"/>
      <x:c r="C64" s="244"/>
      <x:c r="D64" s="244"/>
      <x:c r="E64" s="244"/>
      <x:c r="F64" s="244"/>
      <x:c r="G64" s="244"/>
      <x:c r="H64" s="244"/>
      <x:c r="I64" s="244"/>
      <x:c r="J64" s="244"/>
      <x:c r="K64" s="244"/>
      <x:c r="L64" s="244"/>
      <x:c r="M64" s="244"/>
      <x:c r="N64" s="244"/>
      <x:c r="O64" s="244"/>
      <x:c r="P64" s="244"/>
      <x:c r="Q64" s="244"/>
      <x:c r="R64" s="244"/>
      <x:c r="S64" s="244"/>
      <x:c r="T64" s="244"/>
      <x:c r="U64" s="261"/>
    </x:row>
    <x:row r="65">
      <x:c r="A65" s="3"/>
      <x:c r="B65" s="262"/>
      <x:c r="C65" s="244"/>
      <x:c r="D65" s="244"/>
      <x:c r="E65" s="244"/>
      <x:c r="F65" s="244"/>
      <x:c r="G65" s="244"/>
      <x:c r="H65" s="244"/>
      <x:c r="I65" s="244"/>
      <x:c r="J65" s="244"/>
      <x:c r="K65" s="244"/>
      <x:c r="L65" s="244"/>
      <x:c r="M65" s="244"/>
      <x:c r="N65" s="244"/>
      <x:c r="O65" s="244"/>
      <x:c r="P65" s="244"/>
      <x:c r="Q65" s="244"/>
      <x:c r="R65" s="244"/>
      <x:c r="S65" s="244"/>
      <x:c r="T65" s="244"/>
      <x:c r="U65" s="261"/>
    </x:row>
    <x:row r="66">
      <x:c r="A66" s="3"/>
      <x:c r="B66" s="262"/>
      <x:c r="C66" s="244"/>
      <x:c r="D66" s="244"/>
      <x:c r="E66" s="244"/>
      <x:c r="F66" s="244"/>
      <x:c r="G66" s="244"/>
      <x:c r="H66" s="244"/>
      <x:c r="I66" s="244"/>
      <x:c r="J66" s="244"/>
      <x:c r="K66" s="244"/>
      <x:c r="L66" s="244"/>
      <x:c r="M66" s="244"/>
      <x:c r="N66" s="244"/>
      <x:c r="O66" s="244"/>
      <x:c r="P66" s="244"/>
      <x:c r="Q66" s="244"/>
      <x:c r="R66" s="244"/>
      <x:c r="S66" s="244"/>
      <x:c r="T66" s="244"/>
      <x:c r="U66" s="261"/>
    </x:row>
    <x:row r="67">
      <x:c r="A67" s="3"/>
      <x:c r="B67" s="262"/>
      <x:c r="C67" s="244"/>
      <x:c r="D67" s="244"/>
      <x:c r="E67" s="244"/>
      <x:c r="F67" s="244"/>
      <x:c r="G67" s="244"/>
      <x:c r="H67" s="244"/>
      <x:c r="I67" s="244"/>
      <x:c r="J67" s="244"/>
      <x:c r="K67" s="244"/>
      <x:c r="L67" s="244"/>
      <x:c r="M67" s="244"/>
      <x:c r="N67" s="244"/>
      <x:c r="O67" s="244"/>
      <x:c r="P67" s="244"/>
      <x:c r="Q67" s="244"/>
      <x:c r="R67" s="244"/>
      <x:c r="S67" s="244"/>
      <x:c r="T67" s="244"/>
      <x:c r="U67" s="261"/>
    </x:row>
    <x:row r="68">
      <x:c r="A68" s="3"/>
      <x:c r="B68" s="262"/>
      <x:c r="C68" s="244"/>
      <x:c r="D68" s="244"/>
      <x:c r="E68" s="244"/>
      <x:c r="F68" s="244"/>
      <x:c r="G68" s="244"/>
      <x:c r="H68" s="244"/>
      <x:c r="I68" s="244"/>
      <x:c r="J68" s="244"/>
      <x:c r="K68" s="244"/>
      <x:c r="L68" s="244"/>
      <x:c r="M68" s="244"/>
      <x:c r="N68" s="244"/>
      <x:c r="O68" s="244"/>
      <x:c r="P68" s="244"/>
      <x:c r="Q68" s="244"/>
      <x:c r="R68" s="244"/>
      <x:c r="S68" s="244"/>
      <x:c r="T68" s="244"/>
      <x:c r="U68" s="261"/>
    </x:row>
    <x:row r="69">
      <x:c r="A69" s="3"/>
      <x:c r="B69" s="262"/>
      <x:c r="C69" s="244"/>
      <x:c r="D69" s="244"/>
      <x:c r="E69" s="244"/>
      <x:c r="F69" s="244"/>
      <x:c r="G69" s="244"/>
      <x:c r="H69" s="244"/>
      <x:c r="I69" s="244"/>
      <x:c r="J69" s="244"/>
      <x:c r="K69" s="244"/>
      <x:c r="L69" s="244"/>
      <x:c r="M69" s="244"/>
      <x:c r="N69" s="244"/>
      <x:c r="O69" s="244"/>
      <x:c r="P69" s="244"/>
      <x:c r="Q69" s="244"/>
      <x:c r="R69" s="244"/>
      <x:c r="S69" s="244"/>
      <x:c r="T69" s="244"/>
      <x:c r="U69" s="261"/>
    </x:row>
    <x:row r="70">
      <x:c r="A70" s="3"/>
      <x:c r="B70" s="262"/>
      <x:c r="C70" s="244"/>
      <x:c r="D70" s="244"/>
      <x:c r="E70" s="244"/>
      <x:c r="F70" s="244"/>
      <x:c r="G70" s="244"/>
      <x:c r="H70" s="244"/>
      <x:c r="I70" s="244"/>
      <x:c r="J70" s="244"/>
      <x:c r="K70" s="244"/>
      <x:c r="L70" s="244"/>
      <x:c r="M70" s="244"/>
      <x:c r="N70" s="244"/>
      <x:c r="O70" s="244"/>
      <x:c r="P70" s="244"/>
      <x:c r="Q70" s="244"/>
      <x:c r="R70" s="244"/>
      <x:c r="S70" s="244"/>
      <x:c r="T70" s="244"/>
      <x:c r="U70" s="261"/>
    </x:row>
    <x:row r="71">
      <x:c r="A71" s="3"/>
      <x:c r="B71" s="262"/>
      <x:c r="C71" s="244"/>
      <x:c r="D71" s="244"/>
      <x:c r="E71" s="244"/>
      <x:c r="F71" s="244"/>
      <x:c r="G71" s="244"/>
      <x:c r="H71" s="244"/>
      <x:c r="I71" s="244"/>
      <x:c r="J71" s="244"/>
      <x:c r="K71" s="244"/>
      <x:c r="L71" s="244"/>
      <x:c r="M71" s="244"/>
      <x:c r="N71" s="244"/>
      <x:c r="O71" s="244"/>
      <x:c r="P71" s="244"/>
      <x:c r="Q71" s="244"/>
      <x:c r="R71" s="244"/>
      <x:c r="S71" s="244"/>
      <x:c r="T71" s="244"/>
      <x:c r="U71" s="261"/>
    </x:row>
    <x:row r="72">
      <x:c r="A72" s="3"/>
      <x:c r="B72" s="262"/>
      <x:c r="C72" s="244"/>
      <x:c r="D72" s="244"/>
      <x:c r="E72" s="244"/>
      <x:c r="F72" s="244"/>
      <x:c r="G72" s="244"/>
      <x:c r="H72" s="244"/>
      <x:c r="I72" s="244"/>
      <x:c r="J72" s="244"/>
      <x:c r="K72" s="244"/>
      <x:c r="L72" s="244"/>
      <x:c r="M72" s="244"/>
      <x:c r="N72" s="244"/>
      <x:c r="O72" s="244"/>
      <x:c r="P72" s="244"/>
      <x:c r="Q72" s="244"/>
      <x:c r="R72" s="244"/>
      <x:c r="S72" s="244"/>
      <x:c r="T72" s="244"/>
      <x:c r="U72" s="261"/>
    </x:row>
    <x:row r="73">
      <x:c r="A73" s="3"/>
      <x:c r="B73" s="262"/>
      <x:c r="C73" s="244"/>
      <x:c r="D73" s="244"/>
      <x:c r="E73" s="244"/>
      <x:c r="F73" s="244"/>
      <x:c r="G73" s="244"/>
      <x:c r="H73" s="244"/>
      <x:c r="I73" s="244"/>
      <x:c r="J73" s="244"/>
      <x:c r="K73" s="244"/>
      <x:c r="L73" s="244"/>
      <x:c r="M73" s="244"/>
      <x:c r="N73" s="244"/>
      <x:c r="O73" s="244"/>
      <x:c r="P73" s="244"/>
      <x:c r="Q73" s="244"/>
      <x:c r="R73" s="244"/>
      <x:c r="S73" s="244"/>
      <x:c r="T73" s="244"/>
      <x:c r="U73" s="261"/>
    </x:row>
    <x:row r="74">
      <x:c r="A74" s="3"/>
      <x:c r="B74" s="262"/>
      <x:c r="C74" s="244"/>
      <x:c r="D74" s="244"/>
      <x:c r="E74" s="244"/>
      <x:c r="F74" s="244"/>
      <x:c r="G74" s="244"/>
      <x:c r="H74" s="244"/>
      <x:c r="I74" s="244"/>
      <x:c r="J74" s="244"/>
      <x:c r="K74" s="244"/>
      <x:c r="L74" s="244"/>
      <x:c r="M74" s="244"/>
      <x:c r="N74" s="244"/>
      <x:c r="O74" s="244"/>
      <x:c r="P74" s="244"/>
      <x:c r="Q74" s="244"/>
      <x:c r="R74" s="244"/>
      <x:c r="S74" s="244"/>
      <x:c r="T74" s="244"/>
      <x:c r="U74" s="261"/>
    </x:row>
    <x:row r="75">
      <x:c r="A75" s="3"/>
      <x:c r="B75" s="262"/>
      <x:c r="C75" s="244"/>
      <x:c r="D75" s="244"/>
      <x:c r="E75" s="244"/>
      <x:c r="F75" s="244"/>
      <x:c r="G75" s="244"/>
      <x:c r="H75" s="244"/>
      <x:c r="I75" s="244"/>
      <x:c r="J75" s="244"/>
      <x:c r="K75" s="244"/>
      <x:c r="L75" s="244"/>
      <x:c r="M75" s="244"/>
      <x:c r="N75" s="244"/>
      <x:c r="O75" s="244"/>
      <x:c r="P75" s="244"/>
      <x:c r="Q75" s="244"/>
      <x:c r="R75" s="244"/>
      <x:c r="S75" s="244"/>
      <x:c r="T75" s="244"/>
      <x:c r="U75" s="261"/>
    </x:row>
    <x:row r="76">
      <x:c r="A76" s="3"/>
      <x:c r="B76" s="262"/>
      <x:c r="C76" s="244"/>
      <x:c r="D76" s="244"/>
      <x:c r="E76" s="244"/>
      <x:c r="F76" s="244"/>
      <x:c r="G76" s="244"/>
      <x:c r="H76" s="244"/>
      <x:c r="I76" s="244"/>
      <x:c r="J76" s="244"/>
      <x:c r="K76" s="244"/>
      <x:c r="L76" s="244"/>
      <x:c r="M76" s="244"/>
      <x:c r="N76" s="244"/>
      <x:c r="O76" s="244"/>
      <x:c r="P76" s="244"/>
      <x:c r="Q76" s="244"/>
      <x:c r="R76" s="244"/>
      <x:c r="S76" s="244"/>
      <x:c r="T76" s="244"/>
      <x:c r="U76" s="261"/>
    </x:row>
    <x:row r="77">
      <x:c r="A77" s="3"/>
      <x:c r="B77" s="262"/>
      <x:c r="C77" s="244"/>
      <x:c r="D77" s="244"/>
      <x:c r="E77" s="244"/>
      <x:c r="F77" s="244"/>
      <x:c r="G77" s="244"/>
      <x:c r="H77" s="244"/>
      <x:c r="I77" s="244"/>
      <x:c r="J77" s="244"/>
      <x:c r="K77" s="244"/>
      <x:c r="L77" s="244"/>
      <x:c r="M77" s="244"/>
      <x:c r="N77" s="244"/>
      <x:c r="O77" s="244"/>
      <x:c r="P77" s="244"/>
      <x:c r="Q77" s="244"/>
      <x:c r="R77" s="244"/>
      <x:c r="S77" s="244"/>
      <x:c r="T77" s="244"/>
      <x:c r="U77" s="261"/>
    </x:row>
    <x:row r="78">
      <x:c r="A78" s="3"/>
      <x:c r="B78" s="262"/>
      <x:c r="C78" s="244"/>
      <x:c r="D78" s="244"/>
      <x:c r="E78" s="244"/>
      <x:c r="F78" s="244"/>
      <x:c r="G78" s="244"/>
      <x:c r="H78" s="244"/>
      <x:c r="I78" s="244"/>
      <x:c r="J78" s="244"/>
      <x:c r="K78" s="244"/>
      <x:c r="L78" s="244"/>
      <x:c r="M78" s="244"/>
      <x:c r="N78" s="244"/>
      <x:c r="O78" s="244"/>
      <x:c r="P78" s="244"/>
      <x:c r="Q78" s="244"/>
      <x:c r="R78" s="244"/>
      <x:c r="S78" s="244"/>
      <x:c r="T78" s="244"/>
      <x:c r="U78" s="261"/>
    </x:row>
    <x:row r="79">
      <x:c r="A79" s="3"/>
      <x:c r="B79" s="262"/>
      <x:c r="C79" s="244"/>
      <x:c r="D79" s="244"/>
      <x:c r="E79" s="244"/>
      <x:c r="F79" s="244"/>
      <x:c r="G79" s="244"/>
      <x:c r="H79" s="244"/>
      <x:c r="I79" s="244"/>
      <x:c r="J79" s="244"/>
      <x:c r="K79" s="244"/>
      <x:c r="L79" s="244"/>
      <x:c r="M79" s="244"/>
      <x:c r="N79" s="244"/>
      <x:c r="O79" s="244"/>
      <x:c r="P79" s="244"/>
      <x:c r="Q79" s="244"/>
      <x:c r="R79" s="244"/>
      <x:c r="S79" s="244"/>
      <x:c r="T79" s="244"/>
      <x:c r="U79" s="261"/>
    </x:row>
    <x:row r="80">
      <x:c r="A80" s="3"/>
      <x:c r="B80" s="262"/>
      <x:c r="C80" s="244"/>
      <x:c r="D80" s="244"/>
      <x:c r="E80" s="244"/>
      <x:c r="F80" s="244"/>
      <x:c r="G80" s="244"/>
      <x:c r="H80" s="244"/>
      <x:c r="I80" s="244"/>
      <x:c r="J80" s="244"/>
      <x:c r="K80" s="244"/>
      <x:c r="L80" s="244"/>
      <x:c r="M80" s="244"/>
      <x:c r="N80" s="244"/>
      <x:c r="O80" s="244"/>
      <x:c r="P80" s="244"/>
      <x:c r="Q80" s="244"/>
      <x:c r="R80" s="244"/>
      <x:c r="S80" s="244"/>
      <x:c r="T80" s="244"/>
      <x:c r="U80" s="261"/>
    </x:row>
    <x:row r="81">
      <x:c r="A81" s="3"/>
      <x:c r="B81" s="262"/>
      <x:c r="C81" s="244"/>
      <x:c r="D81" s="244"/>
      <x:c r="E81" s="244"/>
      <x:c r="F81" s="244"/>
      <x:c r="G81" s="244"/>
      <x:c r="H81" s="244"/>
      <x:c r="I81" s="244"/>
      <x:c r="J81" s="244"/>
      <x:c r="K81" s="244"/>
      <x:c r="L81" s="244"/>
      <x:c r="M81" s="244"/>
      <x:c r="N81" s="244"/>
      <x:c r="O81" s="244"/>
      <x:c r="P81" s="244"/>
      <x:c r="Q81" s="244"/>
      <x:c r="R81" s="244"/>
      <x:c r="S81" s="244"/>
      <x:c r="T81" s="244"/>
      <x:c r="U81" s="261"/>
    </x:row>
    <x:row r="82">
      <x:c r="A82" s="3"/>
      <x:c r="B82" s="262"/>
      <x:c r="C82" s="244"/>
      <x:c r="D82" s="244"/>
      <x:c r="E82" s="244"/>
      <x:c r="F82" s="244"/>
      <x:c r="G82" s="244"/>
      <x:c r="H82" s="244"/>
      <x:c r="I82" s="244"/>
      <x:c r="J82" s="244"/>
      <x:c r="K82" s="244"/>
      <x:c r="L82" s="244"/>
      <x:c r="M82" s="244"/>
      <x:c r="N82" s="244"/>
      <x:c r="O82" s="244"/>
      <x:c r="P82" s="244"/>
      <x:c r="Q82" s="244"/>
      <x:c r="R82" s="244"/>
      <x:c r="S82" s="244"/>
      <x:c r="T82" s="244"/>
      <x:c r="U82" s="261"/>
    </x:row>
    <x:row r="83">
      <x:c r="A83" s="3"/>
      <x:c r="B83" s="262"/>
      <x:c r="C83" s="244"/>
      <x:c r="D83" s="244"/>
      <x:c r="E83" s="244"/>
      <x:c r="F83" s="244"/>
      <x:c r="G83" s="244"/>
      <x:c r="H83" s="244"/>
      <x:c r="I83" s="244"/>
      <x:c r="J83" s="244"/>
      <x:c r="K83" s="244"/>
      <x:c r="L83" s="244"/>
      <x:c r="M83" s="244"/>
      <x:c r="N83" s="244"/>
      <x:c r="O83" s="244"/>
      <x:c r="P83" s="244"/>
      <x:c r="Q83" s="244"/>
      <x:c r="R83" s="244"/>
      <x:c r="S83" s="244"/>
      <x:c r="T83" s="244"/>
      <x:c r="U83" s="261"/>
    </x:row>
    <x:row r="84">
      <x:c r="A84" s="3"/>
      <x:c r="B84" s="262"/>
      <x:c r="C84" s="244"/>
      <x:c r="D84" s="244"/>
      <x:c r="E84" s="244"/>
      <x:c r="F84" s="244"/>
      <x:c r="G84" s="244"/>
      <x:c r="H84" s="244"/>
      <x:c r="I84" s="244"/>
      <x:c r="J84" s="244"/>
      <x:c r="K84" s="244"/>
      <x:c r="L84" s="244"/>
      <x:c r="M84" s="244"/>
      <x:c r="N84" s="244"/>
      <x:c r="O84" s="244"/>
      <x:c r="P84" s="244"/>
      <x:c r="Q84" s="244"/>
      <x:c r="R84" s="244"/>
      <x:c r="S84" s="244"/>
      <x:c r="T84" s="244"/>
      <x:c r="U84" s="261"/>
    </x:row>
    <x:row r="85">
      <x:c r="A85" s="3"/>
      <x:c r="B85" s="262"/>
      <x:c r="C85" s="244"/>
      <x:c r="D85" s="244"/>
      <x:c r="E85" s="244"/>
      <x:c r="F85" s="244"/>
      <x:c r="G85" s="244"/>
      <x:c r="H85" s="244"/>
      <x:c r="I85" s="244"/>
      <x:c r="J85" s="244"/>
      <x:c r="K85" s="244"/>
      <x:c r="L85" s="244"/>
      <x:c r="M85" s="244"/>
      <x:c r="N85" s="244"/>
      <x:c r="O85" s="244"/>
      <x:c r="P85" s="244"/>
      <x:c r="Q85" s="244"/>
      <x:c r="R85" s="244"/>
      <x:c r="S85" s="244"/>
      <x:c r="T85" s="244"/>
      <x:c r="U85" s="261"/>
    </x:row>
    <x:row r="86">
      <x:c r="A86" s="3"/>
      <x:c r="B86" s="262"/>
      <x:c r="C86" s="244"/>
      <x:c r="D86" s="244"/>
      <x:c r="E86" s="244"/>
      <x:c r="F86" s="244"/>
      <x:c r="G86" s="244"/>
      <x:c r="H86" s="244"/>
      <x:c r="I86" s="244"/>
      <x:c r="J86" s="244"/>
      <x:c r="K86" s="244"/>
      <x:c r="L86" s="244"/>
      <x:c r="M86" s="244"/>
      <x:c r="N86" s="244"/>
      <x:c r="O86" s="244"/>
      <x:c r="P86" s="244"/>
      <x:c r="Q86" s="244"/>
      <x:c r="R86" s="244"/>
      <x:c r="S86" s="244"/>
      <x:c r="T86" s="244"/>
      <x:c r="U86" s="261"/>
    </x:row>
    <x:row r="87">
      <x:c r="A87" s="3"/>
      <x:c r="B87" s="262"/>
      <x:c r="C87" s="244"/>
      <x:c r="D87" s="244"/>
      <x:c r="E87" s="244"/>
      <x:c r="F87" s="244"/>
      <x:c r="G87" s="244"/>
      <x:c r="H87" s="244"/>
      <x:c r="I87" s="244"/>
      <x:c r="J87" s="244"/>
      <x:c r="K87" s="244"/>
      <x:c r="L87" s="244"/>
      <x:c r="M87" s="244"/>
      <x:c r="N87" s="244"/>
      <x:c r="O87" s="244"/>
      <x:c r="P87" s="244"/>
      <x:c r="Q87" s="244"/>
      <x:c r="R87" s="244"/>
      <x:c r="S87" s="244"/>
      <x:c r="T87" s="244"/>
      <x:c r="U87" s="261"/>
    </x:row>
    <x:row r="88">
      <x:c r="A88" s="3"/>
      <x:c r="B88" s="262"/>
      <x:c r="C88" s="244"/>
      <x:c r="D88" s="244"/>
      <x:c r="E88" s="244"/>
      <x:c r="F88" s="244"/>
      <x:c r="G88" s="244"/>
      <x:c r="H88" s="244"/>
      <x:c r="I88" s="244"/>
      <x:c r="J88" s="244"/>
      <x:c r="K88" s="244"/>
      <x:c r="L88" s="244"/>
      <x:c r="M88" s="244"/>
      <x:c r="N88" s="244"/>
      <x:c r="O88" s="244"/>
      <x:c r="P88" s="244"/>
      <x:c r="Q88" s="244"/>
      <x:c r="R88" s="244"/>
      <x:c r="S88" s="244"/>
      <x:c r="T88" s="244"/>
      <x:c r="U88" s="261"/>
    </x:row>
    <x:row r="89">
      <x:c r="A89" s="3"/>
      <x:c r="B89" s="262"/>
      <x:c r="C89" s="244"/>
      <x:c r="D89" s="244"/>
      <x:c r="E89" s="244"/>
      <x:c r="F89" s="244"/>
      <x:c r="G89" s="244"/>
      <x:c r="H89" s="244"/>
      <x:c r="I89" s="244"/>
      <x:c r="J89" s="244"/>
      <x:c r="K89" s="244"/>
      <x:c r="L89" s="244"/>
      <x:c r="M89" s="244"/>
      <x:c r="N89" s="244"/>
      <x:c r="O89" s="244"/>
      <x:c r="P89" s="244"/>
      <x:c r="Q89" s="244"/>
      <x:c r="R89" s="244"/>
      <x:c r="S89" s="244"/>
      <x:c r="T89" s="244"/>
      <x:c r="U89" s="261"/>
    </x:row>
    <x:row r="90">
      <x:c r="A90" s="3"/>
      <x:c r="B90" s="266"/>
      <x:c r="C90" s="267"/>
      <x:c r="D90" s="267"/>
      <x:c r="E90" s="267"/>
      <x:c r="F90" s="267"/>
      <x:c r="G90" s="267"/>
      <x:c r="H90" s="267"/>
      <x:c r="I90" s="267"/>
      <x:c r="J90" s="267"/>
      <x:c r="K90" s="267"/>
      <x:c r="L90" s="267"/>
      <x:c r="M90" s="267"/>
      <x:c r="N90" s="267"/>
      <x:c r="O90" s="267"/>
      <x:c r="P90" s="267"/>
      <x:c r="Q90" s="267"/>
      <x:c r="R90" s="267"/>
      <x:c r="S90" s="267"/>
      <x:c r="T90" s="267"/>
      <x:c r="U90" s="268"/>
    </x:row>
  </x:sheetData>
  <x:mergeCells>
    <x:mergeCell ref="B2:K2"/>
    <x:mergeCell ref="B3:K3"/>
    <x:mergeCell ref="B4:K4"/>
    <x:mergeCell ref="B6:G6"/>
    <x:mergeCell ref="B22:G22"/>
  </x:mergeCells>
  <x:conditionalFormatting sqref="C24:G35">
    <x:cfRule type="dataBar" priority="1">
      <x:dataBar>
        <x:cfvo type="min"/>
        <x:cfvo type="max"/>
        <x:color rgb="FF4E719D"/>
      </x:dataBar>
      <x:extLst>
        <x:ext xmlns:x14="http://schemas.microsoft.com/office/spreadsheetml/2009/9/main" uri="{B025F937-C7B1-47D3-B67F-A62EFF666E3E}">
          <x14:id>{695983C1-E3CF-1C6D-E32D-9CB2C2F71669}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24c0c9c4106948f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95983C1-E3CF-1C6D-E32D-9CB2C2F71669}">
            <x14:dataBar gradient="1">
              <x14:cfvo type="min"/>
              <x14:cfvo type="max"/>
              <x14:fillColor rgb="FF4E719D"/>
            </x14:dataBar>
          </x14:cfRule>
          <xm:sqref>C24:G35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2.6700000762939453" hidden="0" customWidth="1"/>
    <x:col min="2" max="2" width="20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7.780000686645508" hidden="0" customWidth="1"/>
    <x:col min="8" max="8" width="25.559999465942383" hidden="0" customWidth="1"/>
    <x:col min="9" max="9" width="18.889999389648438" hidden="0" customWidth="1"/>
    <x:col min="10" max="10" width="23.329999923706055" hidden="0" customWidth="1"/>
    <x:col min="11" max="11" width="20" hidden="0" customWidth="1"/>
    <x:col min="12" max="12" width="17.780000686645508" hidden="0" customWidth="1"/>
    <x:col min="13" max="13" width="16.670000076293945" hidden="0" customWidth="1"/>
    <x:col min="14" max="14" width="16.670000076293945" hidden="0" customWidth="1"/>
    <x:col min="15" max="15" width="16.670000076293945" hidden="0" customWidth="1"/>
    <x:col min="16" max="16" width="16.670000076293945" hidden="0" customWidth="1"/>
    <x:col min="17" max="17" width="16.670000076293945" hidden="0" customWidth="1"/>
    <x:col min="18" max="18" width="16.670000076293945" hidden="0" customWidth="1"/>
    <x:col min="19" max="19" width="16.670000076293945" hidden="0" customWidth="1"/>
    <x:col min="20" max="20" width="16.670000076293945" hidden="0" customWidth="1"/>
    <x:col min="21" max="21" width="16.670000076293945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>
      <x:c r="A2" s="3"/>
      <x:c r="B2" s="230" t="str">
        <x:v>Bills &amp; Timing</x:v>
      </x:c>
      <x:c r="C2" s="231" t="str"/>
      <x:c r="D2" s="231" t="str"/>
      <x:c r="E2" s="231" t="str"/>
      <x:c r="F2" s="231" t="str"/>
      <x:c r="G2" s="231" t="str"/>
      <x:c r="H2" s="231" t="str"/>
      <x:c r="I2" s="231" t="str"/>
      <x:c r="J2" s="231" t="str"/>
      <x:c r="K2" s="232" t="str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>
      <x:c r="A3" s="3"/>
      <x:c r="B3" s="233" t="str">
        <x:v>List due dates so you can spot paycheck timing traps.</x:v>
      </x:c>
      <x:c r="C3" s="6" t="str"/>
      <x:c r="D3" s="6" t="str"/>
      <x:c r="E3" s="6" t="str"/>
      <x:c r="F3" s="6" t="str"/>
      <x:c r="G3" s="6" t="str"/>
      <x:c r="H3" s="6" t="str"/>
      <x:c r="I3" s="6" t="str"/>
      <x:c r="J3" s="6" t="str"/>
      <x:c r="K3" s="234" t="str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>
      <x:c r="A4" s="3"/>
      <x:c r="B4" s="235" t="str">
        <x:v>Purpose: find the bills that create the before-payday squeeze.</x:v>
      </x:c>
      <x:c r="C4" s="236" t="str"/>
      <x:c r="D4" s="236" t="str"/>
      <x:c r="E4" s="236" t="str"/>
      <x:c r="F4" s="236" t="str"/>
      <x:c r="G4" s="236" t="str"/>
      <x:c r="H4" s="236" t="str"/>
      <x:c r="I4" s="236" t="str"/>
      <x:c r="J4" s="236" t="str"/>
      <x:c r="K4" s="237" t="str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</x:row>
    <x:row r="6">
      <x:c r="A6" s="3"/>
      <x:c r="B6" s="256" t="str">
        <x:v>Bill calendar</x:v>
      </x:c>
      <x:c r="C6" s="257" t="str">
        <x:v>Bill calendar</x:v>
      </x:c>
      <x:c r="D6" s="257" t="str">
        <x:v>Bill calendar</x:v>
      </x:c>
      <x:c r="E6" s="257" t="str">
        <x:v>Bill calendar</x:v>
      </x:c>
      <x:c r="F6" s="257" t="str">
        <x:v>Bill calendar</x:v>
      </x:c>
      <x:c r="G6" s="257" t="str">
        <x:v>Bill calendar</x:v>
      </x:c>
      <x:c r="H6" s="257" t="str">
        <x:v>Bill calendar</x:v>
      </x:c>
      <x:c r="I6" s="258"/>
      <x:c r="J6" s="258"/>
      <x:c r="K6" s="258"/>
      <x:c r="L6" s="258"/>
      <x:c r="M6" s="258"/>
      <x:c r="N6" s="258"/>
      <x:c r="O6" s="258"/>
      <x:c r="P6" s="258"/>
      <x:c r="Q6" s="258"/>
      <x:c r="R6" s="258"/>
      <x:c r="S6" s="258"/>
      <x:c r="T6" s="258"/>
      <x:c r="U6" s="259"/>
    </x:row>
    <x:row r="7">
      <x:c r="A7" s="3"/>
      <x:c r="B7" s="337" t="str">
        <x:v>Due Day</x:v>
      </x:c>
      <x:c r="C7" s="338" t="str">
        <x:v>Bill</x:v>
      </x:c>
      <x:c r="D7" s="338" t="str">
        <x:v>Amount</x:v>
      </x:c>
      <x:c r="E7" s="338" t="str">
        <x:v>Log Category</x:v>
      </x:c>
      <x:c r="F7" s="338" t="str">
        <x:v>Autopay?</x:v>
      </x:c>
      <x:c r="G7" s="338" t="str">
        <x:v>Covered By</x:v>
      </x:c>
      <x:c r="H7" s="338" t="str">
        <x:v>Notes</x:v>
      </x:c>
      <x:c r="I7" s="244"/>
      <x:c r="J7" s="244"/>
      <x:c r="K7" s="244"/>
      <x:c r="L7" s="244"/>
      <x:c r="M7" s="244"/>
      <x:c r="N7" s="244"/>
      <x:c r="O7" s="244"/>
      <x:c r="P7" s="244"/>
      <x:c r="Q7" s="244"/>
      <x:c r="R7" s="244"/>
      <x:c r="S7" s="244"/>
      <x:c r="T7" s="244"/>
      <x:c r="U7" s="261"/>
    </x:row>
    <x:row r="8">
      <x:c r="A8" s="3"/>
      <x:c r="B8" s="293" t="n">
        <x:v>1</x:v>
      </x:c>
      <x:c r="C8" s="243" t="str">
        <x:v>Rent / mortgage</x:v>
      </x:c>
      <x:c r="D8" s="286" t="n">
        <x:v>1850</x:v>
      </x:c>
      <x:c r="E8" s="243" t="str">
        <x:v>Housing</x:v>
      </x:c>
      <x:c r="F8" s="243" t="str">
        <x:v>Yes</x:v>
      </x:c>
      <x:c r="G8" s="243" t="str">
        <x:v>Paycheck 1</x:v>
      </x:c>
      <x:c r="H8" s="243" t="str">
        <x:v>Largest fixed cost</x:v>
      </x:c>
      <x:c r="I8" s="244"/>
      <x:c r="J8" s="244"/>
      <x:c r="K8" s="244"/>
      <x:c r="L8" s="244"/>
      <x:c r="M8" s="244"/>
      <x:c r="N8" s="244"/>
      <x:c r="O8" s="244"/>
      <x:c r="P8" s="244"/>
      <x:c r="Q8" s="244"/>
      <x:c r="R8" s="244"/>
      <x:c r="S8" s="244"/>
      <x:c r="T8" s="244"/>
      <x:c r="U8" s="261"/>
    </x:row>
    <x:row r="9">
      <x:c r="A9" s="3"/>
      <x:c r="B9" s="293" t="n">
        <x:v>5</x:v>
      </x:c>
      <x:c r="C9" s="243" t="str">
        <x:v>Internet</x:v>
      </x:c>
      <x:c r="D9" s="286" t="n">
        <x:v>75</x:v>
      </x:c>
      <x:c r="E9" s="243" t="str">
        <x:v>Phone &amp; Internet</x:v>
      </x:c>
      <x:c r="F9" s="243" t="str">
        <x:v>Yes</x:v>
      </x:c>
      <x:c r="G9" s="243" t="str">
        <x:v>Paycheck 1</x:v>
      </x:c>
      <x:c r="H9" s="243" t="str"/>
      <x:c r="I9" s="244"/>
      <x:c r="J9" s="244"/>
      <x:c r="K9" s="244"/>
      <x:c r="L9" s="244"/>
      <x:c r="M9" s="244"/>
      <x:c r="N9" s="244"/>
      <x:c r="O9" s="244"/>
      <x:c r="P9" s="244"/>
      <x:c r="Q9" s="244"/>
      <x:c r="R9" s="244"/>
      <x:c r="S9" s="244"/>
      <x:c r="T9" s="244"/>
      <x:c r="U9" s="261"/>
    </x:row>
    <x:row r="10">
      <x:c r="A10" s="3"/>
      <x:c r="B10" s="293" t="n">
        <x:v>8</x:v>
      </x:c>
      <x:c r="C10" s="243" t="str">
        <x:v>Car payment</x:v>
      </x:c>
      <x:c r="D10" s="286" t="n">
        <x:v>420</x:v>
      </x:c>
      <x:c r="E10" s="243" t="str">
        <x:v>Debt</x:v>
      </x:c>
      <x:c r="F10" s="243" t="str">
        <x:v>Yes</x:v>
      </x:c>
      <x:c r="G10" s="243" t="str">
        <x:v>Paycheck 1</x:v>
      </x:c>
      <x:c r="H10" s="243" t="str"/>
      <x:c r="I10" s="244"/>
      <x:c r="J10" s="244"/>
      <x:c r="K10" s="244"/>
      <x:c r="L10" s="244"/>
      <x:c r="M10" s="244"/>
      <x:c r="N10" s="244"/>
      <x:c r="O10" s="244"/>
      <x:c r="P10" s="244"/>
      <x:c r="Q10" s="244"/>
      <x:c r="R10" s="244"/>
      <x:c r="S10" s="244"/>
      <x:c r="T10" s="244"/>
      <x:c r="U10" s="261"/>
    </x:row>
    <x:row r="11">
      <x:c r="A11" s="3"/>
      <x:c r="B11" s="293" t="n">
        <x:v>12</x:v>
      </x:c>
      <x:c r="C11" s="243" t="str">
        <x:v>Phone</x:v>
      </x:c>
      <x:c r="D11" s="286" t="n">
        <x:v>95</x:v>
      </x:c>
      <x:c r="E11" s="243" t="str">
        <x:v>Phone &amp; Internet</x:v>
      </x:c>
      <x:c r="F11" s="243" t="str">
        <x:v>Yes</x:v>
      </x:c>
      <x:c r="G11" s="243" t="str">
        <x:v>Paycheck 1</x:v>
      </x:c>
      <x:c r="H11" s="243" t="str"/>
      <x:c r="I11" s="244"/>
      <x:c r="J11" s="244"/>
      <x:c r="K11" s="244"/>
      <x:c r="L11" s="244"/>
      <x:c r="M11" s="244"/>
      <x:c r="N11" s="244"/>
      <x:c r="O11" s="244"/>
      <x:c r="P11" s="244"/>
      <x:c r="Q11" s="244"/>
      <x:c r="R11" s="244"/>
      <x:c r="S11" s="244"/>
      <x:c r="T11" s="244"/>
      <x:c r="U11" s="261"/>
    </x:row>
    <x:row r="12">
      <x:c r="A12" s="3"/>
      <x:c r="B12" s="293" t="n">
        <x:v>15</x:v>
      </x:c>
      <x:c r="C12" s="243" t="str">
        <x:v>Utilities</x:v>
      </x:c>
      <x:c r="D12" s="286" t="n">
        <x:v>190</x:v>
      </x:c>
      <x:c r="E12" s="243" t="str">
        <x:v>Utilities</x:v>
      </x:c>
      <x:c r="F12" s="243" t="str">
        <x:v>No</x:v>
      </x:c>
      <x:c r="G12" s="243" t="str">
        <x:v>Paycheck 2</x:v>
      </x:c>
      <x:c r="H12" s="243" t="str">
        <x:v>Average monthly amount</x:v>
      </x:c>
      <x:c r="I12" s="244"/>
      <x:c r="J12" s="244"/>
      <x:c r="K12" s="244"/>
      <x:c r="L12" s="244"/>
      <x:c r="M12" s="244"/>
      <x:c r="N12" s="244"/>
      <x:c r="O12" s="244"/>
      <x:c r="P12" s="244"/>
      <x:c r="Q12" s="244"/>
      <x:c r="R12" s="244"/>
      <x:c r="S12" s="244"/>
      <x:c r="T12" s="244"/>
      <x:c r="U12" s="261"/>
    </x:row>
    <x:row r="13">
      <x:c r="A13" s="3"/>
      <x:c r="B13" s="293" t="n">
        <x:v>18</x:v>
      </x:c>
      <x:c r="C13" s="243" t="str">
        <x:v>Insurance</x:v>
      </x:c>
      <x:c r="D13" s="286" t="n">
        <x:v>160</x:v>
      </x:c>
      <x:c r="E13" s="243" t="str">
        <x:v>Insurance</x:v>
      </x:c>
      <x:c r="F13" s="243" t="str">
        <x:v>Yes</x:v>
      </x:c>
      <x:c r="G13" s="243" t="str">
        <x:v>Paycheck 2</x:v>
      </x:c>
      <x:c r="H13" s="243" t="str"/>
      <x:c r="I13" s="244"/>
      <x:c r="J13" s="244"/>
      <x:c r="K13" s="244"/>
      <x:c r="L13" s="244"/>
      <x:c r="M13" s="244"/>
      <x:c r="N13" s="244"/>
      <x:c r="O13" s="244"/>
      <x:c r="P13" s="244"/>
      <x:c r="Q13" s="244"/>
      <x:c r="R13" s="244"/>
      <x:c r="S13" s="244"/>
      <x:c r="T13" s="244"/>
      <x:c r="U13" s="261"/>
    </x:row>
    <x:row r="14">
      <x:c r="A14" s="3"/>
      <x:c r="B14" s="293" t="n">
        <x:v>22</x:v>
      </x:c>
      <x:c r="C14" s="243" t="str">
        <x:v>Credit card minimum</x:v>
      </x:c>
      <x:c r="D14" s="286" t="n">
        <x:v>210</x:v>
      </x:c>
      <x:c r="E14" s="243" t="str">
        <x:v>Debt</x:v>
      </x:c>
      <x:c r="F14" s="243" t="str">
        <x:v>Yes</x:v>
      </x:c>
      <x:c r="G14" s="243" t="str">
        <x:v>Paycheck 2</x:v>
      </x:c>
      <x:c r="H14" s="243" t="str"/>
      <x:c r="I14" s="244"/>
      <x:c r="J14" s="244"/>
      <x:c r="K14" s="244"/>
      <x:c r="L14" s="244"/>
      <x:c r="M14" s="244"/>
      <x:c r="N14" s="244"/>
      <x:c r="O14" s="244"/>
      <x:c r="P14" s="244"/>
      <x:c r="Q14" s="244"/>
      <x:c r="R14" s="244"/>
      <x:c r="S14" s="244"/>
      <x:c r="T14" s="244"/>
      <x:c r="U14" s="261"/>
    </x:row>
    <x:row r="15">
      <x:c r="A15" s="3"/>
      <x:c r="B15" s="293" t="n">
        <x:v>25</x:v>
      </x:c>
      <x:c r="C15" s="243" t="str">
        <x:v>Student loan</x:v>
      </x:c>
      <x:c r="D15" s="286" t="n">
        <x:v>310</x:v>
      </x:c>
      <x:c r="E15" s="243" t="str">
        <x:v>Debt</x:v>
      </x:c>
      <x:c r="F15" s="243" t="str">
        <x:v>Yes</x:v>
      </x:c>
      <x:c r="G15" s="243" t="str">
        <x:v>Paycheck 2</x:v>
      </x:c>
      <x:c r="H15" s="243" t="str"/>
      <x:c r="I15" s="244"/>
      <x:c r="J15" s="244"/>
      <x:c r="K15" s="244"/>
      <x:c r="L15" s="244"/>
      <x:c r="M15" s="244"/>
      <x:c r="N15" s="244"/>
      <x:c r="O15" s="244"/>
      <x:c r="P15" s="244"/>
      <x:c r="Q15" s="244"/>
      <x:c r="R15" s="244"/>
      <x:c r="S15" s="244"/>
      <x:c r="T15" s="244"/>
      <x:c r="U15" s="261"/>
    </x:row>
    <x:row r="16">
      <x:c r="A16" s="3"/>
      <x:c r="B16" s="293" t="str"/>
      <x:c r="C16" s="243" t="str"/>
      <x:c r="D16" s="286" t="str"/>
      <x:c r="E16" s="243" t="str"/>
      <x:c r="F16" s="243" t="str"/>
      <x:c r="G16" s="243" t="str"/>
      <x:c r="H16" s="243" t="str"/>
      <x:c r="I16" s="244"/>
      <x:c r="J16" s="244"/>
      <x:c r="K16" s="244"/>
      <x:c r="L16" s="244"/>
      <x:c r="M16" s="244"/>
      <x:c r="N16" s="244"/>
      <x:c r="O16" s="244"/>
      <x:c r="P16" s="244"/>
      <x:c r="Q16" s="244"/>
      <x:c r="R16" s="244"/>
      <x:c r="S16" s="244"/>
      <x:c r="T16" s="244"/>
      <x:c r="U16" s="261"/>
    </x:row>
    <x:row r="17">
      <x:c r="A17" s="3"/>
      <x:c r="B17" s="293" t="str"/>
      <x:c r="C17" s="243" t="str"/>
      <x:c r="D17" s="286" t="str"/>
      <x:c r="E17" s="243" t="str"/>
      <x:c r="F17" s="243" t="str"/>
      <x:c r="G17" s="243" t="str"/>
      <x:c r="H17" s="243" t="str"/>
      <x:c r="I17" s="244"/>
      <x:c r="J17" s="244"/>
      <x:c r="K17" s="244"/>
      <x:c r="L17" s="244"/>
      <x:c r="M17" s="244"/>
      <x:c r="N17" s="244"/>
      <x:c r="O17" s="244"/>
      <x:c r="P17" s="244"/>
      <x:c r="Q17" s="244"/>
      <x:c r="R17" s="244"/>
      <x:c r="S17" s="244"/>
      <x:c r="T17" s="244"/>
      <x:c r="U17" s="261"/>
    </x:row>
    <x:row r="18">
      <x:c r="A18" s="3"/>
      <x:c r="B18" s="293" t="str"/>
      <x:c r="C18" s="243" t="str"/>
      <x:c r="D18" s="286" t="str"/>
      <x:c r="E18" s="243" t="str"/>
      <x:c r="F18" s="243" t="str"/>
      <x:c r="G18" s="243" t="str"/>
      <x:c r="H18" s="243" t="str"/>
      <x:c r="I18" s="244"/>
      <x:c r="J18" s="244"/>
      <x:c r="K18" s="244"/>
      <x:c r="L18" s="244"/>
      <x:c r="M18" s="244"/>
      <x:c r="N18" s="244"/>
      <x:c r="O18" s="244"/>
      <x:c r="P18" s="244"/>
      <x:c r="Q18" s="244"/>
      <x:c r="R18" s="244"/>
      <x:c r="S18" s="244"/>
      <x:c r="T18" s="244"/>
      <x:c r="U18" s="261"/>
    </x:row>
    <x:row r="19">
      <x:c r="A19" s="3"/>
      <x:c r="B19" s="293" t="str"/>
      <x:c r="C19" s="243" t="str"/>
      <x:c r="D19" s="286" t="str"/>
      <x:c r="E19" s="243" t="str"/>
      <x:c r="F19" s="243" t="str"/>
      <x:c r="G19" s="243" t="str"/>
      <x:c r="H19" s="243" t="str"/>
      <x:c r="I19" s="244"/>
      <x:c r="J19" s="244"/>
      <x:c r="K19" s="244"/>
      <x:c r="L19" s="244"/>
      <x:c r="M19" s="244"/>
      <x:c r="N19" s="244"/>
      <x:c r="O19" s="244"/>
      <x:c r="P19" s="244"/>
      <x:c r="Q19" s="244"/>
      <x:c r="R19" s="244"/>
      <x:c r="S19" s="244"/>
      <x:c r="T19" s="244"/>
      <x:c r="U19" s="261"/>
    </x:row>
    <x:row r="20">
      <x:c r="A20" s="3"/>
      <x:c r="B20" s="293" t="str"/>
      <x:c r="C20" s="243" t="str"/>
      <x:c r="D20" s="286" t="str"/>
      <x:c r="E20" s="243" t="str"/>
      <x:c r="F20" s="243" t="str"/>
      <x:c r="G20" s="243" t="str"/>
      <x:c r="H20" s="243" t="str"/>
      <x:c r="I20" s="244"/>
      <x:c r="J20" s="244"/>
      <x:c r="K20" s="244"/>
      <x:c r="L20" s="244"/>
      <x:c r="M20" s="244"/>
      <x:c r="N20" s="244"/>
      <x:c r="O20" s="244"/>
      <x:c r="P20" s="244"/>
      <x:c r="Q20" s="244"/>
      <x:c r="R20" s="244"/>
      <x:c r="S20" s="244"/>
      <x:c r="T20" s="244"/>
      <x:c r="U20" s="261"/>
    </x:row>
    <x:row r="21">
      <x:c r="A21" s="3"/>
      <x:c r="B21" s="293" t="str"/>
      <x:c r="C21" s="243" t="str"/>
      <x:c r="D21" s="286" t="str"/>
      <x:c r="E21" s="243" t="str"/>
      <x:c r="F21" s="243" t="str"/>
      <x:c r="G21" s="243" t="str"/>
      <x:c r="H21" s="243" t="str"/>
      <x:c r="I21" s="244"/>
      <x:c r="J21" s="244"/>
      <x:c r="K21" s="244"/>
      <x:c r="L21" s="244"/>
      <x:c r="M21" s="244"/>
      <x:c r="N21" s="244"/>
      <x:c r="O21" s="244"/>
      <x:c r="P21" s="244"/>
      <x:c r="Q21" s="244"/>
      <x:c r="R21" s="244"/>
      <x:c r="S21" s="244"/>
      <x:c r="T21" s="244"/>
      <x:c r="U21" s="261"/>
    </x:row>
    <x:row r="22">
      <x:c r="A22" s="3"/>
      <x:c r="B22" s="293" t="str"/>
      <x:c r="C22" s="243" t="str"/>
      <x:c r="D22" s="286" t="str"/>
      <x:c r="E22" s="243" t="str"/>
      <x:c r="F22" s="243" t="str"/>
      <x:c r="G22" s="243" t="str"/>
      <x:c r="H22" s="243" t="str"/>
      <x:c r="I22" s="244"/>
      <x:c r="J22" s="244"/>
      <x:c r="K22" s="244"/>
      <x:c r="L22" s="244"/>
      <x:c r="M22" s="244"/>
      <x:c r="N22" s="244"/>
      <x:c r="O22" s="244"/>
      <x:c r="P22" s="244"/>
      <x:c r="Q22" s="244"/>
      <x:c r="R22" s="244"/>
      <x:c r="S22" s="244"/>
      <x:c r="T22" s="244"/>
      <x:c r="U22" s="261"/>
    </x:row>
    <x:row r="23">
      <x:c r="A23" s="3"/>
      <x:c r="B23" s="293" t="str"/>
      <x:c r="C23" s="243" t="str"/>
      <x:c r="D23" s="286" t="str"/>
      <x:c r="E23" s="243" t="str"/>
      <x:c r="F23" s="243" t="str"/>
      <x:c r="G23" s="243" t="str"/>
      <x:c r="H23" s="243" t="str"/>
      <x:c r="I23" s="244"/>
      <x:c r="J23" s="244"/>
      <x:c r="K23" s="244"/>
      <x:c r="L23" s="244"/>
      <x:c r="M23" s="244"/>
      <x:c r="N23" s="244"/>
      <x:c r="O23" s="244"/>
      <x:c r="P23" s="244"/>
      <x:c r="Q23" s="244"/>
      <x:c r="R23" s="244"/>
      <x:c r="S23" s="244"/>
      <x:c r="T23" s="244"/>
      <x:c r="U23" s="261"/>
    </x:row>
    <x:row r="24">
      <x:c r="A24" s="3"/>
      <x:c r="B24" s="293" t="str"/>
      <x:c r="C24" s="243" t="str"/>
      <x:c r="D24" s="286" t="str"/>
      <x:c r="E24" s="243" t="str"/>
      <x:c r="F24" s="243" t="str"/>
      <x:c r="G24" s="243" t="str"/>
      <x:c r="H24" s="243" t="str"/>
      <x:c r="I24" s="244"/>
      <x:c r="J24" s="244"/>
      <x:c r="K24" s="244"/>
      <x:c r="L24" s="244"/>
      <x:c r="M24" s="244"/>
      <x:c r="N24" s="244"/>
      <x:c r="O24" s="244"/>
      <x:c r="P24" s="244"/>
      <x:c r="Q24" s="244"/>
      <x:c r="R24" s="244"/>
      <x:c r="S24" s="244"/>
      <x:c r="T24" s="244"/>
      <x:c r="U24" s="261"/>
    </x:row>
    <x:row r="25">
      <x:c r="A25" s="3"/>
      <x:c r="B25" s="293" t="str"/>
      <x:c r="C25" s="243" t="str"/>
      <x:c r="D25" s="286" t="str"/>
      <x:c r="E25" s="243" t="str"/>
      <x:c r="F25" s="243" t="str"/>
      <x:c r="G25" s="243" t="str"/>
      <x:c r="H25" s="243" t="str"/>
      <x:c r="I25" s="244"/>
      <x:c r="J25" s="244"/>
      <x:c r="K25" s="244"/>
      <x:c r="L25" s="244"/>
      <x:c r="M25" s="244"/>
      <x:c r="N25" s="244"/>
      <x:c r="O25" s="244"/>
      <x:c r="P25" s="244"/>
      <x:c r="Q25" s="244"/>
      <x:c r="R25" s="244"/>
      <x:c r="S25" s="244"/>
      <x:c r="T25" s="244"/>
      <x:c r="U25" s="261"/>
    </x:row>
    <x:row r="26">
      <x:c r="A26" s="3"/>
      <x:c r="B26" s="262"/>
      <x:c r="C26" s="244"/>
      <x:c r="D26" s="244"/>
      <x:c r="E26" s="244"/>
      <x:c r="F26" s="244"/>
      <x:c r="G26" s="244"/>
      <x:c r="H26" s="244"/>
      <x:c r="I26" s="244"/>
      <x:c r="J26" s="244"/>
      <x:c r="K26" s="244"/>
      <x:c r="L26" s="244"/>
      <x:c r="M26" s="244"/>
      <x:c r="N26" s="244"/>
      <x:c r="O26" s="244"/>
      <x:c r="P26" s="244"/>
      <x:c r="Q26" s="244"/>
      <x:c r="R26" s="244"/>
      <x:c r="S26" s="244"/>
      <x:c r="T26" s="244"/>
      <x:c r="U26" s="261"/>
    </x:row>
    <x:row r="27">
      <x:c r="A27" s="3"/>
      <x:c r="B27" s="262"/>
      <x:c r="C27" s="244"/>
      <x:c r="D27" s="244"/>
      <x:c r="E27" s="244"/>
      <x:c r="F27" s="244"/>
      <x:c r="G27" s="244"/>
      <x:c r="H27" s="244"/>
      <x:c r="I27" s="244"/>
      <x:c r="J27" s="244"/>
      <x:c r="K27" s="244"/>
      <x:c r="L27" s="244"/>
      <x:c r="M27" s="244"/>
      <x:c r="N27" s="244"/>
      <x:c r="O27" s="244"/>
      <x:c r="P27" s="244"/>
      <x:c r="Q27" s="244"/>
      <x:c r="R27" s="244"/>
      <x:c r="S27" s="244"/>
      <x:c r="T27" s="244"/>
      <x:c r="U27" s="261"/>
    </x:row>
    <x:row r="28">
      <x:c r="A28" s="3"/>
      <x:c r="B28" s="263" t="str">
        <x:v>What to look for</x:v>
      </x:c>
      <x:c r="C28" s="248" t="str">
        <x:v>What to look for</x:v>
      </x:c>
      <x:c r="D28" s="248" t="str">
        <x:v>What to look for</x:v>
      </x:c>
      <x:c r="E28" s="248" t="str">
        <x:v>What to look for</x:v>
      </x:c>
      <x:c r="F28" s="248" t="str">
        <x:v>What to look for</x:v>
      </x:c>
      <x:c r="G28" s="248" t="str">
        <x:v>What to look for</x:v>
      </x:c>
      <x:c r="H28" s="248" t="str">
        <x:v>What to look for</x:v>
      </x:c>
      <x:c r="I28" s="248" t="str">
        <x:v>What to look for</x:v>
      </x:c>
      <x:c r="J28" s="248" t="str">
        <x:v>What to look for</x:v>
      </x:c>
      <x:c r="K28" s="248" t="str">
        <x:v>What to look for</x:v>
      </x:c>
      <x:c r="L28" s="244"/>
      <x:c r="M28" s="244"/>
      <x:c r="N28" s="244"/>
      <x:c r="O28" s="244"/>
      <x:c r="P28" s="244"/>
      <x:c r="Q28" s="244"/>
      <x:c r="R28" s="244"/>
      <x:c r="S28" s="244"/>
      <x:c r="T28" s="244"/>
      <x:c r="U28" s="261"/>
    </x:row>
    <x:row r="29">
      <x:c r="A29" s="3"/>
      <x:c r="B29" s="265" t="str">
        <x:v>This tab plans timing. Actual payments still belong in Daily Log using the Log Category shown above.</x:v>
      </x:c>
      <x:c r="C29" s="252" t="str"/>
      <x:c r="D29" s="252" t="str"/>
      <x:c r="E29" s="252" t="str"/>
      <x:c r="F29" s="252" t="str"/>
      <x:c r="G29" s="252" t="str"/>
      <x:c r="H29" s="252" t="str"/>
      <x:c r="I29" s="252" t="str"/>
      <x:c r="J29" s="252" t="str"/>
      <x:c r="K29" s="252" t="str"/>
      <x:c r="L29" s="244"/>
      <x:c r="M29" s="244"/>
      <x:c r="N29" s="244"/>
      <x:c r="O29" s="244"/>
      <x:c r="P29" s="244"/>
      <x:c r="Q29" s="244"/>
      <x:c r="R29" s="244"/>
      <x:c r="S29" s="244"/>
      <x:c r="T29" s="244"/>
      <x:c r="U29" s="261"/>
    </x:row>
    <x:row r="30">
      <x:c r="A30" s="3"/>
      <x:c r="B30" s="265" t="str">
        <x:v>If most large bills hit before Paycheck 1 clears, timing may be the real problem.</x:v>
      </x:c>
      <x:c r="C30" s="252" t="str"/>
      <x:c r="D30" s="252" t="str"/>
      <x:c r="E30" s="252" t="str"/>
      <x:c r="F30" s="252" t="str"/>
      <x:c r="G30" s="252" t="str"/>
      <x:c r="H30" s="252" t="str"/>
      <x:c r="I30" s="252" t="str"/>
      <x:c r="J30" s="252" t="str"/>
      <x:c r="K30" s="252" t="str"/>
      <x:c r="L30" s="244"/>
      <x:c r="M30" s="244"/>
      <x:c r="N30" s="244"/>
      <x:c r="O30" s="244"/>
      <x:c r="P30" s="244"/>
      <x:c r="Q30" s="244"/>
      <x:c r="R30" s="244"/>
      <x:c r="S30" s="244"/>
      <x:c r="T30" s="244"/>
      <x:c r="U30" s="261"/>
    </x:row>
    <x:row r="31">
      <x:c r="A31" s="3"/>
      <x:c r="B31" s="265" t="str">
        <x:v>If possible, move one or two due dates so each paycheck carries a fair share.</x:v>
      </x:c>
      <x:c r="C31" s="252" t="str"/>
      <x:c r="D31" s="252" t="str"/>
      <x:c r="E31" s="252" t="str"/>
      <x:c r="F31" s="252" t="str"/>
      <x:c r="G31" s="252" t="str"/>
      <x:c r="H31" s="252" t="str"/>
      <x:c r="I31" s="252" t="str"/>
      <x:c r="J31" s="252" t="str"/>
      <x:c r="K31" s="252" t="str"/>
      <x:c r="L31" s="244"/>
      <x:c r="M31" s="244"/>
      <x:c r="N31" s="244"/>
      <x:c r="O31" s="244"/>
      <x:c r="P31" s="244"/>
      <x:c r="Q31" s="244"/>
      <x:c r="R31" s="244"/>
      <x:c r="S31" s="244"/>
      <x:c r="T31" s="244"/>
      <x:c r="U31" s="261"/>
    </x:row>
    <x:row r="32">
      <x:c r="A32" s="3"/>
      <x:c r="B32" s="265" t="str">
        <x:v>If a bill is on autopay, make sure the paycheck that covers it lands before the withdrawal.</x:v>
      </x:c>
      <x:c r="C32" s="252" t="str"/>
      <x:c r="D32" s="252" t="str"/>
      <x:c r="E32" s="252" t="str"/>
      <x:c r="F32" s="252" t="str"/>
      <x:c r="G32" s="252" t="str"/>
      <x:c r="H32" s="252" t="str"/>
      <x:c r="I32" s="252" t="str"/>
      <x:c r="J32" s="252" t="str"/>
      <x:c r="K32" s="252" t="str"/>
      <x:c r="L32" s="244"/>
      <x:c r="M32" s="244"/>
      <x:c r="N32" s="244"/>
      <x:c r="O32" s="244"/>
      <x:c r="P32" s="244"/>
      <x:c r="Q32" s="244"/>
      <x:c r="R32" s="244"/>
      <x:c r="S32" s="244"/>
      <x:c r="T32" s="244"/>
      <x:c r="U32" s="261"/>
    </x:row>
    <x:row r="33">
      <x:c r="A33" s="3"/>
      <x:c r="B33" s="265" t="str">
        <x:v>Next tab: Debt &amp; Subscriptions. That is where the quiet monthly leaks usually show up.</x:v>
      </x:c>
      <x:c r="C33" s="252" t="str"/>
      <x:c r="D33" s="252" t="str"/>
      <x:c r="E33" s="252" t="str"/>
      <x:c r="F33" s="252" t="str"/>
      <x:c r="G33" s="252" t="str"/>
      <x:c r="H33" s="252" t="str"/>
      <x:c r="I33" s="252" t="str"/>
      <x:c r="J33" s="252" t="str"/>
      <x:c r="K33" s="252" t="str"/>
      <x:c r="L33" s="244"/>
      <x:c r="M33" s="244"/>
      <x:c r="N33" s="244"/>
      <x:c r="O33" s="244"/>
      <x:c r="P33" s="244"/>
      <x:c r="Q33" s="244"/>
      <x:c r="R33" s="244"/>
      <x:c r="S33" s="244"/>
      <x:c r="T33" s="244"/>
      <x:c r="U33" s="261"/>
    </x:row>
    <x:row r="34">
      <x:c r="A34" s="3"/>
      <x:c r="B34" s="262"/>
      <x:c r="C34" s="244"/>
      <x:c r="D34" s="244"/>
      <x:c r="E34" s="244"/>
      <x:c r="F34" s="244"/>
      <x:c r="G34" s="244"/>
      <x:c r="H34" s="244"/>
      <x:c r="I34" s="244"/>
      <x:c r="J34" s="244"/>
      <x:c r="K34" s="244"/>
      <x:c r="L34" s="244"/>
      <x:c r="M34" s="244"/>
      <x:c r="N34" s="244"/>
      <x:c r="O34" s="244"/>
      <x:c r="P34" s="244"/>
      <x:c r="Q34" s="244"/>
      <x:c r="R34" s="244"/>
      <x:c r="S34" s="244"/>
      <x:c r="T34" s="244"/>
      <x:c r="U34" s="261"/>
    </x:row>
    <x:row r="35">
      <x:c r="A35" s="3"/>
      <x:c r="B35" s="262"/>
      <x:c r="C35" s="244"/>
      <x:c r="D35" s="244"/>
      <x:c r="E35" s="244"/>
      <x:c r="F35" s="244"/>
      <x:c r="G35" s="244"/>
      <x:c r="H35" s="244"/>
      <x:c r="I35" s="244"/>
      <x:c r="J35" s="244"/>
      <x:c r="K35" s="244"/>
      <x:c r="L35" s="244"/>
      <x:c r="M35" s="244"/>
      <x:c r="N35" s="244"/>
      <x:c r="O35" s="244"/>
      <x:c r="P35" s="244"/>
      <x:c r="Q35" s="244"/>
      <x:c r="R35" s="244"/>
      <x:c r="S35" s="244"/>
      <x:c r="T35" s="244"/>
      <x:c r="U35" s="261"/>
    </x:row>
    <x:row r="36">
      <x:c r="A36" s="3"/>
      <x:c r="B36" s="262"/>
      <x:c r="C36" s="244"/>
      <x:c r="D36" s="244"/>
      <x:c r="E36" s="244"/>
      <x:c r="F36" s="244"/>
      <x:c r="G36" s="244"/>
      <x:c r="H36" s="244"/>
      <x:c r="I36" s="244"/>
      <x:c r="J36" s="244"/>
      <x:c r="K36" s="244"/>
      <x:c r="L36" s="244"/>
      <x:c r="M36" s="244"/>
      <x:c r="N36" s="244"/>
      <x:c r="O36" s="244"/>
      <x:c r="P36" s="244"/>
      <x:c r="Q36" s="244"/>
      <x:c r="R36" s="244"/>
      <x:c r="S36" s="244"/>
      <x:c r="T36" s="244"/>
      <x:c r="U36" s="261"/>
    </x:row>
    <x:row r="37">
      <x:c r="A37" s="3"/>
      <x:c r="B37" s="262"/>
      <x:c r="C37" s="244"/>
      <x:c r="D37" s="244"/>
      <x:c r="E37" s="244"/>
      <x:c r="F37" s="244"/>
      <x:c r="G37" s="244"/>
      <x:c r="H37" s="244"/>
      <x:c r="I37" s="244"/>
      <x:c r="J37" s="244"/>
      <x:c r="K37" s="244"/>
      <x:c r="L37" s="244"/>
      <x:c r="M37" s="244"/>
      <x:c r="N37" s="244"/>
      <x:c r="O37" s="244"/>
      <x:c r="P37" s="244"/>
      <x:c r="Q37" s="244"/>
      <x:c r="R37" s="244"/>
      <x:c r="S37" s="244"/>
      <x:c r="T37" s="244"/>
      <x:c r="U37" s="261"/>
    </x:row>
    <x:row r="38">
      <x:c r="A38" s="3"/>
      <x:c r="B38" s="262"/>
      <x:c r="C38" s="244"/>
      <x:c r="D38" s="244"/>
      <x:c r="E38" s="244"/>
      <x:c r="F38" s="244"/>
      <x:c r="G38" s="244"/>
      <x:c r="H38" s="244"/>
      <x:c r="I38" s="244"/>
      <x:c r="J38" s="244"/>
      <x:c r="K38" s="244"/>
      <x:c r="L38" s="244"/>
      <x:c r="M38" s="244"/>
      <x:c r="N38" s="244"/>
      <x:c r="O38" s="244"/>
      <x:c r="P38" s="244"/>
      <x:c r="Q38" s="244"/>
      <x:c r="R38" s="244"/>
      <x:c r="S38" s="244"/>
      <x:c r="T38" s="244"/>
      <x:c r="U38" s="261"/>
    </x:row>
    <x:row r="39">
      <x:c r="A39" s="3"/>
      <x:c r="B39" s="262"/>
      <x:c r="C39" s="244"/>
      <x:c r="D39" s="244"/>
      <x:c r="E39" s="244"/>
      <x:c r="F39" s="244"/>
      <x:c r="G39" s="244"/>
      <x:c r="H39" s="244"/>
      <x:c r="I39" s="244"/>
      <x:c r="J39" s="244"/>
      <x:c r="K39" s="244"/>
      <x:c r="L39" s="244"/>
      <x:c r="M39" s="244"/>
      <x:c r="N39" s="244"/>
      <x:c r="O39" s="244"/>
      <x:c r="P39" s="244"/>
      <x:c r="Q39" s="244"/>
      <x:c r="R39" s="244"/>
      <x:c r="S39" s="244"/>
      <x:c r="T39" s="244"/>
      <x:c r="U39" s="261"/>
    </x:row>
    <x:row r="40">
      <x:c r="A40" s="3"/>
      <x:c r="B40" s="262"/>
      <x:c r="C40" s="244"/>
      <x:c r="D40" s="244"/>
      <x:c r="E40" s="244"/>
      <x:c r="F40" s="244"/>
      <x:c r="G40" s="244"/>
      <x:c r="H40" s="244"/>
      <x:c r="I40" s="244"/>
      <x:c r="J40" s="244"/>
      <x:c r="K40" s="244"/>
      <x:c r="L40" s="244"/>
      <x:c r="M40" s="244"/>
      <x:c r="N40" s="244"/>
      <x:c r="O40" s="244"/>
      <x:c r="P40" s="244"/>
      <x:c r="Q40" s="244"/>
      <x:c r="R40" s="244"/>
      <x:c r="S40" s="244"/>
      <x:c r="T40" s="244"/>
      <x:c r="U40" s="261"/>
    </x:row>
    <x:row r="41">
      <x:c r="A41" s="3"/>
      <x:c r="B41" s="262"/>
      <x:c r="C41" s="244"/>
      <x:c r="D41" s="244"/>
      <x:c r="E41" s="244"/>
      <x:c r="F41" s="244"/>
      <x:c r="G41" s="244"/>
      <x:c r="H41" s="244"/>
      <x:c r="I41" s="244"/>
      <x:c r="J41" s="244"/>
      <x:c r="K41" s="244"/>
      <x:c r="L41" s="244"/>
      <x:c r="M41" s="244"/>
      <x:c r="N41" s="244"/>
      <x:c r="O41" s="244"/>
      <x:c r="P41" s="244"/>
      <x:c r="Q41" s="244"/>
      <x:c r="R41" s="244"/>
      <x:c r="S41" s="244"/>
      <x:c r="T41" s="244"/>
      <x:c r="U41" s="261"/>
    </x:row>
    <x:row r="42">
      <x:c r="A42" s="3"/>
      <x:c r="B42" s="262"/>
      <x:c r="C42" s="244"/>
      <x:c r="D42" s="244"/>
      <x:c r="E42" s="244"/>
      <x:c r="F42" s="244"/>
      <x:c r="G42" s="244"/>
      <x:c r="H42" s="244"/>
      <x:c r="I42" s="244"/>
      <x:c r="J42" s="244"/>
      <x:c r="K42" s="244"/>
      <x:c r="L42" s="244"/>
      <x:c r="M42" s="244"/>
      <x:c r="N42" s="244"/>
      <x:c r="O42" s="244"/>
      <x:c r="P42" s="244"/>
      <x:c r="Q42" s="244"/>
      <x:c r="R42" s="244"/>
      <x:c r="S42" s="244"/>
      <x:c r="T42" s="244"/>
      <x:c r="U42" s="261"/>
    </x:row>
    <x:row r="43">
      <x:c r="A43" s="3"/>
      <x:c r="B43" s="262"/>
      <x:c r="C43" s="244"/>
      <x:c r="D43" s="244"/>
      <x:c r="E43" s="244"/>
      <x:c r="F43" s="244"/>
      <x:c r="G43" s="244"/>
      <x:c r="H43" s="244"/>
      <x:c r="I43" s="244"/>
      <x:c r="J43" s="244"/>
      <x:c r="K43" s="244"/>
      <x:c r="L43" s="244"/>
      <x:c r="M43" s="244"/>
      <x:c r="N43" s="244"/>
      <x:c r="O43" s="244"/>
      <x:c r="P43" s="244"/>
      <x:c r="Q43" s="244"/>
      <x:c r="R43" s="244"/>
      <x:c r="S43" s="244"/>
      <x:c r="T43" s="244"/>
      <x:c r="U43" s="261"/>
    </x:row>
    <x:row r="44">
      <x:c r="A44" s="3"/>
      <x:c r="B44" s="262"/>
      <x:c r="C44" s="244"/>
      <x:c r="D44" s="244"/>
      <x:c r="E44" s="244"/>
      <x:c r="F44" s="244"/>
      <x:c r="G44" s="244"/>
      <x:c r="H44" s="244"/>
      <x:c r="I44" s="244"/>
      <x:c r="J44" s="244"/>
      <x:c r="K44" s="244"/>
      <x:c r="L44" s="244"/>
      <x:c r="M44" s="244"/>
      <x:c r="N44" s="244"/>
      <x:c r="O44" s="244"/>
      <x:c r="P44" s="244"/>
      <x:c r="Q44" s="244"/>
      <x:c r="R44" s="244"/>
      <x:c r="S44" s="244"/>
      <x:c r="T44" s="244"/>
      <x:c r="U44" s="261"/>
    </x:row>
    <x:row r="45">
      <x:c r="A45" s="3"/>
      <x:c r="B45" s="262"/>
      <x:c r="C45" s="244"/>
      <x:c r="D45" s="244"/>
      <x:c r="E45" s="244"/>
      <x:c r="F45" s="244"/>
      <x:c r="G45" s="244"/>
      <x:c r="H45" s="244"/>
      <x:c r="I45" s="244"/>
      <x:c r="J45" s="244"/>
      <x:c r="K45" s="244"/>
      <x:c r="L45" s="244"/>
      <x:c r="M45" s="244"/>
      <x:c r="N45" s="244"/>
      <x:c r="O45" s="244"/>
      <x:c r="P45" s="244"/>
      <x:c r="Q45" s="244"/>
      <x:c r="R45" s="244"/>
      <x:c r="S45" s="244"/>
      <x:c r="T45" s="244"/>
      <x:c r="U45" s="261"/>
    </x:row>
    <x:row r="46">
      <x:c r="A46" s="3"/>
      <x:c r="B46" s="262"/>
      <x:c r="C46" s="244"/>
      <x:c r="D46" s="244"/>
      <x:c r="E46" s="244"/>
      <x:c r="F46" s="244"/>
      <x:c r="G46" s="244"/>
      <x:c r="H46" s="244"/>
      <x:c r="I46" s="244"/>
      <x:c r="J46" s="244"/>
      <x:c r="K46" s="244"/>
      <x:c r="L46" s="244"/>
      <x:c r="M46" s="244"/>
      <x:c r="N46" s="244"/>
      <x:c r="O46" s="244"/>
      <x:c r="P46" s="244"/>
      <x:c r="Q46" s="244"/>
      <x:c r="R46" s="244"/>
      <x:c r="S46" s="244"/>
      <x:c r="T46" s="244"/>
      <x:c r="U46" s="261"/>
    </x:row>
    <x:row r="47">
      <x:c r="A47" s="3"/>
      <x:c r="B47" s="262"/>
      <x:c r="C47" s="244"/>
      <x:c r="D47" s="244"/>
      <x:c r="E47" s="244"/>
      <x:c r="F47" s="244"/>
      <x:c r="G47" s="244"/>
      <x:c r="H47" s="244"/>
      <x:c r="I47" s="244"/>
      <x:c r="J47" s="244"/>
      <x:c r="K47" s="244"/>
      <x:c r="L47" s="244"/>
      <x:c r="M47" s="244"/>
      <x:c r="N47" s="244"/>
      <x:c r="O47" s="244"/>
      <x:c r="P47" s="244"/>
      <x:c r="Q47" s="244"/>
      <x:c r="R47" s="244"/>
      <x:c r="S47" s="244"/>
      <x:c r="T47" s="244"/>
      <x:c r="U47" s="261"/>
    </x:row>
    <x:row r="48">
      <x:c r="A48" s="3"/>
      <x:c r="B48" s="262"/>
      <x:c r="C48" s="244"/>
      <x:c r="D48" s="244"/>
      <x:c r="E48" s="244"/>
      <x:c r="F48" s="244"/>
      <x:c r="G48" s="244"/>
      <x:c r="H48" s="244"/>
      <x:c r="I48" s="244"/>
      <x:c r="J48" s="244"/>
      <x:c r="K48" s="244"/>
      <x:c r="L48" s="244"/>
      <x:c r="M48" s="244"/>
      <x:c r="N48" s="244"/>
      <x:c r="O48" s="244"/>
      <x:c r="P48" s="244"/>
      <x:c r="Q48" s="244"/>
      <x:c r="R48" s="244"/>
      <x:c r="S48" s="244"/>
      <x:c r="T48" s="244"/>
      <x:c r="U48" s="261"/>
    </x:row>
    <x:row r="49">
      <x:c r="A49" s="3"/>
      <x:c r="B49" s="262"/>
      <x:c r="C49" s="244"/>
      <x:c r="D49" s="244"/>
      <x:c r="E49" s="244"/>
      <x:c r="F49" s="244"/>
      <x:c r="G49" s="244"/>
      <x:c r="H49" s="244"/>
      <x:c r="I49" s="244"/>
      <x:c r="J49" s="244"/>
      <x:c r="K49" s="244"/>
      <x:c r="L49" s="244"/>
      <x:c r="M49" s="244"/>
      <x:c r="N49" s="244"/>
      <x:c r="O49" s="244"/>
      <x:c r="P49" s="244"/>
      <x:c r="Q49" s="244"/>
      <x:c r="R49" s="244"/>
      <x:c r="S49" s="244"/>
      <x:c r="T49" s="244"/>
      <x:c r="U49" s="261"/>
    </x:row>
    <x:row r="50">
      <x:c r="A50" s="3"/>
      <x:c r="B50" s="262"/>
      <x:c r="C50" s="244"/>
      <x:c r="D50" s="244"/>
      <x:c r="E50" s="244"/>
      <x:c r="F50" s="244"/>
      <x:c r="G50" s="244"/>
      <x:c r="H50" s="244"/>
      <x:c r="I50" s="244"/>
      <x:c r="J50" s="244"/>
      <x:c r="K50" s="244"/>
      <x:c r="L50" s="244"/>
      <x:c r="M50" s="244"/>
      <x:c r="N50" s="244"/>
      <x:c r="O50" s="244"/>
      <x:c r="P50" s="244"/>
      <x:c r="Q50" s="244"/>
      <x:c r="R50" s="244"/>
      <x:c r="S50" s="244"/>
      <x:c r="T50" s="244"/>
      <x:c r="U50" s="261"/>
    </x:row>
    <x:row r="51">
      <x:c r="A51" s="3"/>
      <x:c r="B51" s="262"/>
      <x:c r="C51" s="244"/>
      <x:c r="D51" s="244"/>
      <x:c r="E51" s="244"/>
      <x:c r="F51" s="244"/>
      <x:c r="G51" s="244"/>
      <x:c r="H51" s="244"/>
      <x:c r="I51" s="244"/>
      <x:c r="J51" s="244"/>
      <x:c r="K51" s="244"/>
      <x:c r="L51" s="244"/>
      <x:c r="M51" s="244"/>
      <x:c r="N51" s="244"/>
      <x:c r="O51" s="244"/>
      <x:c r="P51" s="244"/>
      <x:c r="Q51" s="244"/>
      <x:c r="R51" s="244"/>
      <x:c r="S51" s="244"/>
      <x:c r="T51" s="244"/>
      <x:c r="U51" s="261"/>
    </x:row>
    <x:row r="52">
      <x:c r="A52" s="3"/>
      <x:c r="B52" s="262"/>
      <x:c r="C52" s="244"/>
      <x:c r="D52" s="244"/>
      <x:c r="E52" s="244"/>
      <x:c r="F52" s="244"/>
      <x:c r="G52" s="244"/>
      <x:c r="H52" s="244"/>
      <x:c r="I52" s="244"/>
      <x:c r="J52" s="244"/>
      <x:c r="K52" s="244"/>
      <x:c r="L52" s="244"/>
      <x:c r="M52" s="244"/>
      <x:c r="N52" s="244"/>
      <x:c r="O52" s="244"/>
      <x:c r="P52" s="244"/>
      <x:c r="Q52" s="244"/>
      <x:c r="R52" s="244"/>
      <x:c r="S52" s="244"/>
      <x:c r="T52" s="244"/>
      <x:c r="U52" s="261"/>
    </x:row>
    <x:row r="53">
      <x:c r="A53" s="3"/>
      <x:c r="B53" s="262"/>
      <x:c r="C53" s="244"/>
      <x:c r="D53" s="244"/>
      <x:c r="E53" s="244"/>
      <x:c r="F53" s="244"/>
      <x:c r="G53" s="244"/>
      <x:c r="H53" s="244"/>
      <x:c r="I53" s="244"/>
      <x:c r="J53" s="244"/>
      <x:c r="K53" s="244"/>
      <x:c r="L53" s="244"/>
      <x:c r="M53" s="244"/>
      <x:c r="N53" s="244"/>
      <x:c r="O53" s="244"/>
      <x:c r="P53" s="244"/>
      <x:c r="Q53" s="244"/>
      <x:c r="R53" s="244"/>
      <x:c r="S53" s="244"/>
      <x:c r="T53" s="244"/>
      <x:c r="U53" s="261"/>
    </x:row>
    <x:row r="54">
      <x:c r="A54" s="3"/>
      <x:c r="B54" s="262"/>
      <x:c r="C54" s="244"/>
      <x:c r="D54" s="244"/>
      <x:c r="E54" s="244"/>
      <x:c r="F54" s="244"/>
      <x:c r="G54" s="244"/>
      <x:c r="H54" s="244"/>
      <x:c r="I54" s="244"/>
      <x:c r="J54" s="244"/>
      <x:c r="K54" s="244"/>
      <x:c r="L54" s="244"/>
      <x:c r="M54" s="244"/>
      <x:c r="N54" s="244"/>
      <x:c r="O54" s="244"/>
      <x:c r="P54" s="244"/>
      <x:c r="Q54" s="244"/>
      <x:c r="R54" s="244"/>
      <x:c r="S54" s="244"/>
      <x:c r="T54" s="244"/>
      <x:c r="U54" s="261"/>
    </x:row>
    <x:row r="55">
      <x:c r="A55" s="3"/>
      <x:c r="B55" s="262"/>
      <x:c r="C55" s="244"/>
      <x:c r="D55" s="244"/>
      <x:c r="E55" s="244"/>
      <x:c r="F55" s="244"/>
      <x:c r="G55" s="244"/>
      <x:c r="H55" s="244"/>
      <x:c r="I55" s="244"/>
      <x:c r="J55" s="244"/>
      <x:c r="K55" s="244"/>
      <x:c r="L55" s="244"/>
      <x:c r="M55" s="244"/>
      <x:c r="N55" s="244"/>
      <x:c r="O55" s="244"/>
      <x:c r="P55" s="244"/>
      <x:c r="Q55" s="244"/>
      <x:c r="R55" s="244"/>
      <x:c r="S55" s="244"/>
      <x:c r="T55" s="244"/>
      <x:c r="U55" s="261"/>
    </x:row>
    <x:row r="56">
      <x:c r="A56" s="3"/>
      <x:c r="B56" s="262"/>
      <x:c r="C56" s="244"/>
      <x:c r="D56" s="244"/>
      <x:c r="E56" s="244"/>
      <x:c r="F56" s="244"/>
      <x:c r="G56" s="244"/>
      <x:c r="H56" s="244"/>
      <x:c r="I56" s="244"/>
      <x:c r="J56" s="244"/>
      <x:c r="K56" s="244"/>
      <x:c r="L56" s="244"/>
      <x:c r="M56" s="244"/>
      <x:c r="N56" s="244"/>
      <x:c r="O56" s="244"/>
      <x:c r="P56" s="244"/>
      <x:c r="Q56" s="244"/>
      <x:c r="R56" s="244"/>
      <x:c r="S56" s="244"/>
      <x:c r="T56" s="244"/>
      <x:c r="U56" s="261"/>
    </x:row>
    <x:row r="57">
      <x:c r="A57" s="3"/>
      <x:c r="B57" s="262"/>
      <x:c r="C57" s="244"/>
      <x:c r="D57" s="244"/>
      <x:c r="E57" s="244"/>
      <x:c r="F57" s="244"/>
      <x:c r="G57" s="244"/>
      <x:c r="H57" s="244"/>
      <x:c r="I57" s="244"/>
      <x:c r="J57" s="244"/>
      <x:c r="K57" s="244"/>
      <x:c r="L57" s="244"/>
      <x:c r="M57" s="244"/>
      <x:c r="N57" s="244"/>
      <x:c r="O57" s="244"/>
      <x:c r="P57" s="244"/>
      <x:c r="Q57" s="244"/>
      <x:c r="R57" s="244"/>
      <x:c r="S57" s="244"/>
      <x:c r="T57" s="244"/>
      <x:c r="U57" s="261"/>
    </x:row>
    <x:row r="58">
      <x:c r="A58" s="3"/>
      <x:c r="B58" s="262"/>
      <x:c r="C58" s="244"/>
      <x:c r="D58" s="244"/>
      <x:c r="E58" s="244"/>
      <x:c r="F58" s="244"/>
      <x:c r="G58" s="244"/>
      <x:c r="H58" s="244"/>
      <x:c r="I58" s="244"/>
      <x:c r="J58" s="244"/>
      <x:c r="K58" s="244"/>
      <x:c r="L58" s="244"/>
      <x:c r="M58" s="244"/>
      <x:c r="N58" s="244"/>
      <x:c r="O58" s="244"/>
      <x:c r="P58" s="244"/>
      <x:c r="Q58" s="244"/>
      <x:c r="R58" s="244"/>
      <x:c r="S58" s="244"/>
      <x:c r="T58" s="244"/>
      <x:c r="U58" s="261"/>
    </x:row>
    <x:row r="59">
      <x:c r="A59" s="3"/>
      <x:c r="B59" s="262"/>
      <x:c r="C59" s="244"/>
      <x:c r="D59" s="244"/>
      <x:c r="E59" s="244"/>
      <x:c r="F59" s="244"/>
      <x:c r="G59" s="244"/>
      <x:c r="H59" s="244"/>
      <x:c r="I59" s="244"/>
      <x:c r="J59" s="244"/>
      <x:c r="K59" s="244"/>
      <x:c r="L59" s="244"/>
      <x:c r="M59" s="244"/>
      <x:c r="N59" s="244"/>
      <x:c r="O59" s="244"/>
      <x:c r="P59" s="244"/>
      <x:c r="Q59" s="244"/>
      <x:c r="R59" s="244"/>
      <x:c r="S59" s="244"/>
      <x:c r="T59" s="244"/>
      <x:c r="U59" s="261"/>
    </x:row>
    <x:row r="60">
      <x:c r="A60" s="3"/>
      <x:c r="B60" s="262"/>
      <x:c r="C60" s="244"/>
      <x:c r="D60" s="244"/>
      <x:c r="E60" s="244"/>
      <x:c r="F60" s="244"/>
      <x:c r="G60" s="244"/>
      <x:c r="H60" s="244"/>
      <x:c r="I60" s="244"/>
      <x:c r="J60" s="244"/>
      <x:c r="K60" s="244"/>
      <x:c r="L60" s="244"/>
      <x:c r="M60" s="244"/>
      <x:c r="N60" s="244"/>
      <x:c r="O60" s="244"/>
      <x:c r="P60" s="244"/>
      <x:c r="Q60" s="244"/>
      <x:c r="R60" s="244"/>
      <x:c r="S60" s="244"/>
      <x:c r="T60" s="244"/>
      <x:c r="U60" s="261"/>
    </x:row>
    <x:row r="61">
      <x:c r="A61" s="3"/>
      <x:c r="B61" s="262"/>
      <x:c r="C61" s="244"/>
      <x:c r="D61" s="244"/>
      <x:c r="E61" s="244"/>
      <x:c r="F61" s="244"/>
      <x:c r="G61" s="244"/>
      <x:c r="H61" s="244"/>
      <x:c r="I61" s="244"/>
      <x:c r="J61" s="244"/>
      <x:c r="K61" s="244"/>
      <x:c r="L61" s="244"/>
      <x:c r="M61" s="244"/>
      <x:c r="N61" s="244"/>
      <x:c r="O61" s="244"/>
      <x:c r="P61" s="244"/>
      <x:c r="Q61" s="244"/>
      <x:c r="R61" s="244"/>
      <x:c r="S61" s="244"/>
      <x:c r="T61" s="244"/>
      <x:c r="U61" s="261"/>
    </x:row>
    <x:row r="62">
      <x:c r="A62" s="3"/>
      <x:c r="B62" s="262"/>
      <x:c r="C62" s="244"/>
      <x:c r="D62" s="244"/>
      <x:c r="E62" s="244"/>
      <x:c r="F62" s="244"/>
      <x:c r="G62" s="244"/>
      <x:c r="H62" s="244"/>
      <x:c r="I62" s="244"/>
      <x:c r="J62" s="244"/>
      <x:c r="K62" s="244"/>
      <x:c r="L62" s="244"/>
      <x:c r="M62" s="244"/>
      <x:c r="N62" s="244"/>
      <x:c r="O62" s="244"/>
      <x:c r="P62" s="244"/>
      <x:c r="Q62" s="244"/>
      <x:c r="R62" s="244"/>
      <x:c r="S62" s="244"/>
      <x:c r="T62" s="244"/>
      <x:c r="U62" s="261"/>
    </x:row>
    <x:row r="63">
      <x:c r="A63" s="3"/>
      <x:c r="B63" s="262"/>
      <x:c r="C63" s="244"/>
      <x:c r="D63" s="244"/>
      <x:c r="E63" s="244"/>
      <x:c r="F63" s="244"/>
      <x:c r="G63" s="244"/>
      <x:c r="H63" s="244"/>
      <x:c r="I63" s="244"/>
      <x:c r="J63" s="244"/>
      <x:c r="K63" s="244"/>
      <x:c r="L63" s="244"/>
      <x:c r="M63" s="244"/>
      <x:c r="N63" s="244"/>
      <x:c r="O63" s="244"/>
      <x:c r="P63" s="244"/>
      <x:c r="Q63" s="244"/>
      <x:c r="R63" s="244"/>
      <x:c r="S63" s="244"/>
      <x:c r="T63" s="244"/>
      <x:c r="U63" s="261"/>
    </x:row>
    <x:row r="64">
      <x:c r="A64" s="3"/>
      <x:c r="B64" s="262"/>
      <x:c r="C64" s="244"/>
      <x:c r="D64" s="244"/>
      <x:c r="E64" s="244"/>
      <x:c r="F64" s="244"/>
      <x:c r="G64" s="244"/>
      <x:c r="H64" s="244"/>
      <x:c r="I64" s="244"/>
      <x:c r="J64" s="244"/>
      <x:c r="K64" s="244"/>
      <x:c r="L64" s="244"/>
      <x:c r="M64" s="244"/>
      <x:c r="N64" s="244"/>
      <x:c r="O64" s="244"/>
      <x:c r="P64" s="244"/>
      <x:c r="Q64" s="244"/>
      <x:c r="R64" s="244"/>
      <x:c r="S64" s="244"/>
      <x:c r="T64" s="244"/>
      <x:c r="U64" s="261"/>
    </x:row>
    <x:row r="65">
      <x:c r="A65" s="3"/>
      <x:c r="B65" s="262"/>
      <x:c r="C65" s="244"/>
      <x:c r="D65" s="244"/>
      <x:c r="E65" s="244"/>
      <x:c r="F65" s="244"/>
      <x:c r="G65" s="244"/>
      <x:c r="H65" s="244"/>
      <x:c r="I65" s="244"/>
      <x:c r="J65" s="244"/>
      <x:c r="K65" s="244"/>
      <x:c r="L65" s="244"/>
      <x:c r="M65" s="244"/>
      <x:c r="N65" s="244"/>
      <x:c r="O65" s="244"/>
      <x:c r="P65" s="244"/>
      <x:c r="Q65" s="244"/>
      <x:c r="R65" s="244"/>
      <x:c r="S65" s="244"/>
      <x:c r="T65" s="244"/>
      <x:c r="U65" s="261"/>
    </x:row>
    <x:row r="66">
      <x:c r="A66" s="3"/>
      <x:c r="B66" s="262"/>
      <x:c r="C66" s="244"/>
      <x:c r="D66" s="244"/>
      <x:c r="E66" s="244"/>
      <x:c r="F66" s="244"/>
      <x:c r="G66" s="244"/>
      <x:c r="H66" s="244"/>
      <x:c r="I66" s="244"/>
      <x:c r="J66" s="244"/>
      <x:c r="K66" s="244"/>
      <x:c r="L66" s="244"/>
      <x:c r="M66" s="244"/>
      <x:c r="N66" s="244"/>
      <x:c r="O66" s="244"/>
      <x:c r="P66" s="244"/>
      <x:c r="Q66" s="244"/>
      <x:c r="R66" s="244"/>
      <x:c r="S66" s="244"/>
      <x:c r="T66" s="244"/>
      <x:c r="U66" s="261"/>
    </x:row>
    <x:row r="67">
      <x:c r="A67" s="3"/>
      <x:c r="B67" s="262"/>
      <x:c r="C67" s="244"/>
      <x:c r="D67" s="244"/>
      <x:c r="E67" s="244"/>
      <x:c r="F67" s="244"/>
      <x:c r="G67" s="244"/>
      <x:c r="H67" s="244"/>
      <x:c r="I67" s="244"/>
      <x:c r="J67" s="244"/>
      <x:c r="K67" s="244"/>
      <x:c r="L67" s="244"/>
      <x:c r="M67" s="244"/>
      <x:c r="N67" s="244"/>
      <x:c r="O67" s="244"/>
      <x:c r="P67" s="244"/>
      <x:c r="Q67" s="244"/>
      <x:c r="R67" s="244"/>
      <x:c r="S67" s="244"/>
      <x:c r="T67" s="244"/>
      <x:c r="U67" s="261"/>
    </x:row>
    <x:row r="68">
      <x:c r="A68" s="3"/>
      <x:c r="B68" s="262"/>
      <x:c r="C68" s="244"/>
      <x:c r="D68" s="244"/>
      <x:c r="E68" s="244"/>
      <x:c r="F68" s="244"/>
      <x:c r="G68" s="244"/>
      <x:c r="H68" s="244"/>
      <x:c r="I68" s="244"/>
      <x:c r="J68" s="244"/>
      <x:c r="K68" s="244"/>
      <x:c r="L68" s="244"/>
      <x:c r="M68" s="244"/>
      <x:c r="N68" s="244"/>
      <x:c r="O68" s="244"/>
      <x:c r="P68" s="244"/>
      <x:c r="Q68" s="244"/>
      <x:c r="R68" s="244"/>
      <x:c r="S68" s="244"/>
      <x:c r="T68" s="244"/>
      <x:c r="U68" s="261"/>
    </x:row>
    <x:row r="69">
      <x:c r="A69" s="3"/>
      <x:c r="B69" s="262"/>
      <x:c r="C69" s="244"/>
      <x:c r="D69" s="244"/>
      <x:c r="E69" s="244"/>
      <x:c r="F69" s="244"/>
      <x:c r="G69" s="244"/>
      <x:c r="H69" s="244"/>
      <x:c r="I69" s="244"/>
      <x:c r="J69" s="244"/>
      <x:c r="K69" s="244"/>
      <x:c r="L69" s="244"/>
      <x:c r="M69" s="244"/>
      <x:c r="N69" s="244"/>
      <x:c r="O69" s="244"/>
      <x:c r="P69" s="244"/>
      <x:c r="Q69" s="244"/>
      <x:c r="R69" s="244"/>
      <x:c r="S69" s="244"/>
      <x:c r="T69" s="244"/>
      <x:c r="U69" s="261"/>
    </x:row>
    <x:row r="70">
      <x:c r="A70" s="3"/>
      <x:c r="B70" s="262"/>
      <x:c r="C70" s="244"/>
      <x:c r="D70" s="244"/>
      <x:c r="E70" s="244"/>
      <x:c r="F70" s="244"/>
      <x:c r="G70" s="244"/>
      <x:c r="H70" s="244"/>
      <x:c r="I70" s="244"/>
      <x:c r="J70" s="244"/>
      <x:c r="K70" s="244"/>
      <x:c r="L70" s="244"/>
      <x:c r="M70" s="244"/>
      <x:c r="N70" s="244"/>
      <x:c r="O70" s="244"/>
      <x:c r="P70" s="244"/>
      <x:c r="Q70" s="244"/>
      <x:c r="R70" s="244"/>
      <x:c r="S70" s="244"/>
      <x:c r="T70" s="244"/>
      <x:c r="U70" s="261"/>
    </x:row>
    <x:row r="71">
      <x:c r="A71" s="3"/>
      <x:c r="B71" s="262"/>
      <x:c r="C71" s="244"/>
      <x:c r="D71" s="244"/>
      <x:c r="E71" s="244"/>
      <x:c r="F71" s="244"/>
      <x:c r="G71" s="244"/>
      <x:c r="H71" s="244"/>
      <x:c r="I71" s="244"/>
      <x:c r="J71" s="244"/>
      <x:c r="K71" s="244"/>
      <x:c r="L71" s="244"/>
      <x:c r="M71" s="244"/>
      <x:c r="N71" s="244"/>
      <x:c r="O71" s="244"/>
      <x:c r="P71" s="244"/>
      <x:c r="Q71" s="244"/>
      <x:c r="R71" s="244"/>
      <x:c r="S71" s="244"/>
      <x:c r="T71" s="244"/>
      <x:c r="U71" s="261"/>
    </x:row>
    <x:row r="72">
      <x:c r="A72" s="3"/>
      <x:c r="B72" s="262"/>
      <x:c r="C72" s="244"/>
      <x:c r="D72" s="244"/>
      <x:c r="E72" s="244"/>
      <x:c r="F72" s="244"/>
      <x:c r="G72" s="244"/>
      <x:c r="H72" s="244"/>
      <x:c r="I72" s="244"/>
      <x:c r="J72" s="244"/>
      <x:c r="K72" s="244"/>
      <x:c r="L72" s="244"/>
      <x:c r="M72" s="244"/>
      <x:c r="N72" s="244"/>
      <x:c r="O72" s="244"/>
      <x:c r="P72" s="244"/>
      <x:c r="Q72" s="244"/>
      <x:c r="R72" s="244"/>
      <x:c r="S72" s="244"/>
      <x:c r="T72" s="244"/>
      <x:c r="U72" s="261"/>
    </x:row>
    <x:row r="73">
      <x:c r="A73" s="3"/>
      <x:c r="B73" s="262"/>
      <x:c r="C73" s="244"/>
      <x:c r="D73" s="244"/>
      <x:c r="E73" s="244"/>
      <x:c r="F73" s="244"/>
      <x:c r="G73" s="244"/>
      <x:c r="H73" s="244"/>
      <x:c r="I73" s="244"/>
      <x:c r="J73" s="244"/>
      <x:c r="K73" s="244"/>
      <x:c r="L73" s="244"/>
      <x:c r="M73" s="244"/>
      <x:c r="N73" s="244"/>
      <x:c r="O73" s="244"/>
      <x:c r="P73" s="244"/>
      <x:c r="Q73" s="244"/>
      <x:c r="R73" s="244"/>
      <x:c r="S73" s="244"/>
      <x:c r="T73" s="244"/>
      <x:c r="U73" s="261"/>
    </x:row>
    <x:row r="74">
      <x:c r="A74" s="3"/>
      <x:c r="B74" s="262"/>
      <x:c r="C74" s="244"/>
      <x:c r="D74" s="244"/>
      <x:c r="E74" s="244"/>
      <x:c r="F74" s="244"/>
      <x:c r="G74" s="244"/>
      <x:c r="H74" s="244"/>
      <x:c r="I74" s="244"/>
      <x:c r="J74" s="244"/>
      <x:c r="K74" s="244"/>
      <x:c r="L74" s="244"/>
      <x:c r="M74" s="244"/>
      <x:c r="N74" s="244"/>
      <x:c r="O74" s="244"/>
      <x:c r="P74" s="244"/>
      <x:c r="Q74" s="244"/>
      <x:c r="R74" s="244"/>
      <x:c r="S74" s="244"/>
      <x:c r="T74" s="244"/>
      <x:c r="U74" s="261"/>
    </x:row>
    <x:row r="75">
      <x:c r="A75" s="3"/>
      <x:c r="B75" s="262"/>
      <x:c r="C75" s="244"/>
      <x:c r="D75" s="244"/>
      <x:c r="E75" s="244"/>
      <x:c r="F75" s="244"/>
      <x:c r="G75" s="244"/>
      <x:c r="H75" s="244"/>
      <x:c r="I75" s="244"/>
      <x:c r="J75" s="244"/>
      <x:c r="K75" s="244"/>
      <x:c r="L75" s="244"/>
      <x:c r="M75" s="244"/>
      <x:c r="N75" s="244"/>
      <x:c r="O75" s="244"/>
      <x:c r="P75" s="244"/>
      <x:c r="Q75" s="244"/>
      <x:c r="R75" s="244"/>
      <x:c r="S75" s="244"/>
      <x:c r="T75" s="244"/>
      <x:c r="U75" s="261"/>
    </x:row>
    <x:row r="76">
      <x:c r="A76" s="3"/>
      <x:c r="B76" s="262"/>
      <x:c r="C76" s="244"/>
      <x:c r="D76" s="244"/>
      <x:c r="E76" s="244"/>
      <x:c r="F76" s="244"/>
      <x:c r="G76" s="244"/>
      <x:c r="H76" s="244"/>
      <x:c r="I76" s="244"/>
      <x:c r="J76" s="244"/>
      <x:c r="K76" s="244"/>
      <x:c r="L76" s="244"/>
      <x:c r="M76" s="244"/>
      <x:c r="N76" s="244"/>
      <x:c r="O76" s="244"/>
      <x:c r="P76" s="244"/>
      <x:c r="Q76" s="244"/>
      <x:c r="R76" s="244"/>
      <x:c r="S76" s="244"/>
      <x:c r="T76" s="244"/>
      <x:c r="U76" s="261"/>
    </x:row>
    <x:row r="77">
      <x:c r="A77" s="3"/>
      <x:c r="B77" s="262"/>
      <x:c r="C77" s="244"/>
      <x:c r="D77" s="244"/>
      <x:c r="E77" s="244"/>
      <x:c r="F77" s="244"/>
      <x:c r="G77" s="244"/>
      <x:c r="H77" s="244"/>
      <x:c r="I77" s="244"/>
      <x:c r="J77" s="244"/>
      <x:c r="K77" s="244"/>
      <x:c r="L77" s="244"/>
      <x:c r="M77" s="244"/>
      <x:c r="N77" s="244"/>
      <x:c r="O77" s="244"/>
      <x:c r="P77" s="244"/>
      <x:c r="Q77" s="244"/>
      <x:c r="R77" s="244"/>
      <x:c r="S77" s="244"/>
      <x:c r="T77" s="244"/>
      <x:c r="U77" s="261"/>
    </x:row>
    <x:row r="78">
      <x:c r="A78" s="3"/>
      <x:c r="B78" s="262"/>
      <x:c r="C78" s="244"/>
      <x:c r="D78" s="244"/>
      <x:c r="E78" s="244"/>
      <x:c r="F78" s="244"/>
      <x:c r="G78" s="244"/>
      <x:c r="H78" s="244"/>
      <x:c r="I78" s="244"/>
      <x:c r="J78" s="244"/>
      <x:c r="K78" s="244"/>
      <x:c r="L78" s="244"/>
      <x:c r="M78" s="244"/>
      <x:c r="N78" s="244"/>
      <x:c r="O78" s="244"/>
      <x:c r="P78" s="244"/>
      <x:c r="Q78" s="244"/>
      <x:c r="R78" s="244"/>
      <x:c r="S78" s="244"/>
      <x:c r="T78" s="244"/>
      <x:c r="U78" s="261"/>
    </x:row>
    <x:row r="79">
      <x:c r="A79" s="3"/>
      <x:c r="B79" s="262"/>
      <x:c r="C79" s="244"/>
      <x:c r="D79" s="244"/>
      <x:c r="E79" s="244"/>
      <x:c r="F79" s="244"/>
      <x:c r="G79" s="244"/>
      <x:c r="H79" s="244"/>
      <x:c r="I79" s="244"/>
      <x:c r="J79" s="244"/>
      <x:c r="K79" s="244"/>
      <x:c r="L79" s="244"/>
      <x:c r="M79" s="244"/>
      <x:c r="N79" s="244"/>
      <x:c r="O79" s="244"/>
      <x:c r="P79" s="244"/>
      <x:c r="Q79" s="244"/>
      <x:c r="R79" s="244"/>
      <x:c r="S79" s="244"/>
      <x:c r="T79" s="244"/>
      <x:c r="U79" s="261"/>
    </x:row>
    <x:row r="80">
      <x:c r="A80" s="3"/>
      <x:c r="B80" s="262"/>
      <x:c r="C80" s="244"/>
      <x:c r="D80" s="244"/>
      <x:c r="E80" s="244"/>
      <x:c r="F80" s="244"/>
      <x:c r="G80" s="244"/>
      <x:c r="H80" s="244"/>
      <x:c r="I80" s="244"/>
      <x:c r="J80" s="244"/>
      <x:c r="K80" s="244"/>
      <x:c r="L80" s="244"/>
      <x:c r="M80" s="244"/>
      <x:c r="N80" s="244"/>
      <x:c r="O80" s="244"/>
      <x:c r="P80" s="244"/>
      <x:c r="Q80" s="244"/>
      <x:c r="R80" s="244"/>
      <x:c r="S80" s="244"/>
      <x:c r="T80" s="244"/>
      <x:c r="U80" s="261"/>
    </x:row>
    <x:row r="81">
      <x:c r="A81" s="3"/>
      <x:c r="B81" s="262"/>
      <x:c r="C81" s="244"/>
      <x:c r="D81" s="244"/>
      <x:c r="E81" s="244"/>
      <x:c r="F81" s="244"/>
      <x:c r="G81" s="244"/>
      <x:c r="H81" s="244"/>
      <x:c r="I81" s="244"/>
      <x:c r="J81" s="244"/>
      <x:c r="K81" s="244"/>
      <x:c r="L81" s="244"/>
      <x:c r="M81" s="244"/>
      <x:c r="N81" s="244"/>
      <x:c r="O81" s="244"/>
      <x:c r="P81" s="244"/>
      <x:c r="Q81" s="244"/>
      <x:c r="R81" s="244"/>
      <x:c r="S81" s="244"/>
      <x:c r="T81" s="244"/>
      <x:c r="U81" s="261"/>
    </x:row>
    <x:row r="82">
      <x:c r="A82" s="3"/>
      <x:c r="B82" s="262"/>
      <x:c r="C82" s="244"/>
      <x:c r="D82" s="244"/>
      <x:c r="E82" s="244"/>
      <x:c r="F82" s="244"/>
      <x:c r="G82" s="244"/>
      <x:c r="H82" s="244"/>
      <x:c r="I82" s="244"/>
      <x:c r="J82" s="244"/>
      <x:c r="K82" s="244"/>
      <x:c r="L82" s="244"/>
      <x:c r="M82" s="244"/>
      <x:c r="N82" s="244"/>
      <x:c r="O82" s="244"/>
      <x:c r="P82" s="244"/>
      <x:c r="Q82" s="244"/>
      <x:c r="R82" s="244"/>
      <x:c r="S82" s="244"/>
      <x:c r="T82" s="244"/>
      <x:c r="U82" s="261"/>
    </x:row>
    <x:row r="83">
      <x:c r="A83" s="3"/>
      <x:c r="B83" s="262"/>
      <x:c r="C83" s="244"/>
      <x:c r="D83" s="244"/>
      <x:c r="E83" s="244"/>
      <x:c r="F83" s="244"/>
      <x:c r="G83" s="244"/>
      <x:c r="H83" s="244"/>
      <x:c r="I83" s="244"/>
      <x:c r="J83" s="244"/>
      <x:c r="K83" s="244"/>
      <x:c r="L83" s="244"/>
      <x:c r="M83" s="244"/>
      <x:c r="N83" s="244"/>
      <x:c r="O83" s="244"/>
      <x:c r="P83" s="244"/>
      <x:c r="Q83" s="244"/>
      <x:c r="R83" s="244"/>
      <x:c r="S83" s="244"/>
      <x:c r="T83" s="244"/>
      <x:c r="U83" s="261"/>
    </x:row>
    <x:row r="84">
      <x:c r="A84" s="3"/>
      <x:c r="B84" s="262"/>
      <x:c r="C84" s="244"/>
      <x:c r="D84" s="244"/>
      <x:c r="E84" s="244"/>
      <x:c r="F84" s="244"/>
      <x:c r="G84" s="244"/>
      <x:c r="H84" s="244"/>
      <x:c r="I84" s="244"/>
      <x:c r="J84" s="244"/>
      <x:c r="K84" s="244"/>
      <x:c r="L84" s="244"/>
      <x:c r="M84" s="244"/>
      <x:c r="N84" s="244"/>
      <x:c r="O84" s="244"/>
      <x:c r="P84" s="244"/>
      <x:c r="Q84" s="244"/>
      <x:c r="R84" s="244"/>
      <x:c r="S84" s="244"/>
      <x:c r="T84" s="244"/>
      <x:c r="U84" s="261"/>
    </x:row>
    <x:row r="85">
      <x:c r="A85" s="3"/>
      <x:c r="B85" s="262"/>
      <x:c r="C85" s="244"/>
      <x:c r="D85" s="244"/>
      <x:c r="E85" s="244"/>
      <x:c r="F85" s="244"/>
      <x:c r="G85" s="244"/>
      <x:c r="H85" s="244"/>
      <x:c r="I85" s="244"/>
      <x:c r="J85" s="244"/>
      <x:c r="K85" s="244"/>
      <x:c r="L85" s="244"/>
      <x:c r="M85" s="244"/>
      <x:c r="N85" s="244"/>
      <x:c r="O85" s="244"/>
      <x:c r="P85" s="244"/>
      <x:c r="Q85" s="244"/>
      <x:c r="R85" s="244"/>
      <x:c r="S85" s="244"/>
      <x:c r="T85" s="244"/>
      <x:c r="U85" s="261"/>
    </x:row>
    <x:row r="86">
      <x:c r="A86" s="3"/>
      <x:c r="B86" s="262"/>
      <x:c r="C86" s="244"/>
      <x:c r="D86" s="244"/>
      <x:c r="E86" s="244"/>
      <x:c r="F86" s="244"/>
      <x:c r="G86" s="244"/>
      <x:c r="H86" s="244"/>
      <x:c r="I86" s="244"/>
      <x:c r="J86" s="244"/>
      <x:c r="K86" s="244"/>
      <x:c r="L86" s="244"/>
      <x:c r="M86" s="244"/>
      <x:c r="N86" s="244"/>
      <x:c r="O86" s="244"/>
      <x:c r="P86" s="244"/>
      <x:c r="Q86" s="244"/>
      <x:c r="R86" s="244"/>
      <x:c r="S86" s="244"/>
      <x:c r="T86" s="244"/>
      <x:c r="U86" s="261"/>
    </x:row>
    <x:row r="87">
      <x:c r="A87" s="3"/>
      <x:c r="B87" s="262"/>
      <x:c r="C87" s="244"/>
      <x:c r="D87" s="244"/>
      <x:c r="E87" s="244"/>
      <x:c r="F87" s="244"/>
      <x:c r="G87" s="244"/>
      <x:c r="H87" s="244"/>
      <x:c r="I87" s="244"/>
      <x:c r="J87" s="244"/>
      <x:c r="K87" s="244"/>
      <x:c r="L87" s="244"/>
      <x:c r="M87" s="244"/>
      <x:c r="N87" s="244"/>
      <x:c r="O87" s="244"/>
      <x:c r="P87" s="244"/>
      <x:c r="Q87" s="244"/>
      <x:c r="R87" s="244"/>
      <x:c r="S87" s="244"/>
      <x:c r="T87" s="244"/>
      <x:c r="U87" s="261"/>
    </x:row>
    <x:row r="88">
      <x:c r="A88" s="3"/>
      <x:c r="B88" s="262"/>
      <x:c r="C88" s="244"/>
      <x:c r="D88" s="244"/>
      <x:c r="E88" s="244"/>
      <x:c r="F88" s="244"/>
      <x:c r="G88" s="244"/>
      <x:c r="H88" s="244"/>
      <x:c r="I88" s="244"/>
      <x:c r="J88" s="244"/>
      <x:c r="K88" s="244"/>
      <x:c r="L88" s="244"/>
      <x:c r="M88" s="244"/>
      <x:c r="N88" s="244"/>
      <x:c r="O88" s="244"/>
      <x:c r="P88" s="244"/>
      <x:c r="Q88" s="244"/>
      <x:c r="R88" s="244"/>
      <x:c r="S88" s="244"/>
      <x:c r="T88" s="244"/>
      <x:c r="U88" s="261"/>
    </x:row>
    <x:row r="89">
      <x:c r="A89" s="3"/>
      <x:c r="B89" s="262"/>
      <x:c r="C89" s="244"/>
      <x:c r="D89" s="244"/>
      <x:c r="E89" s="244"/>
      <x:c r="F89" s="244"/>
      <x:c r="G89" s="244"/>
      <x:c r="H89" s="244"/>
      <x:c r="I89" s="244"/>
      <x:c r="J89" s="244"/>
      <x:c r="K89" s="244"/>
      <x:c r="L89" s="244"/>
      <x:c r="M89" s="244"/>
      <x:c r="N89" s="244"/>
      <x:c r="O89" s="244"/>
      <x:c r="P89" s="244"/>
      <x:c r="Q89" s="244"/>
      <x:c r="R89" s="244"/>
      <x:c r="S89" s="244"/>
      <x:c r="T89" s="244"/>
      <x:c r="U89" s="261"/>
    </x:row>
    <x:row r="90">
      <x:c r="A90" s="3"/>
      <x:c r="B90" s="266"/>
      <x:c r="C90" s="267"/>
      <x:c r="D90" s="267"/>
      <x:c r="E90" s="267"/>
      <x:c r="F90" s="267"/>
      <x:c r="G90" s="267"/>
      <x:c r="H90" s="267"/>
      <x:c r="I90" s="267"/>
      <x:c r="J90" s="267"/>
      <x:c r="K90" s="267"/>
      <x:c r="L90" s="267"/>
      <x:c r="M90" s="267"/>
      <x:c r="N90" s="267"/>
      <x:c r="O90" s="267"/>
      <x:c r="P90" s="267"/>
      <x:c r="Q90" s="267"/>
      <x:c r="R90" s="267"/>
      <x:c r="S90" s="267"/>
      <x:c r="T90" s="267"/>
      <x:c r="U90" s="268"/>
    </x:row>
  </x:sheetData>
  <x:mergeCells>
    <x:mergeCell ref="B2:K2"/>
    <x:mergeCell ref="B3:K3"/>
    <x:mergeCell ref="B4:K4"/>
    <x:mergeCell ref="B6:H6"/>
    <x:mergeCell ref="B28:K28"/>
    <x:mergeCell ref="B29:K29"/>
    <x:mergeCell ref="B30:K30"/>
    <x:mergeCell ref="B31:K31"/>
    <x:mergeCell ref="B32:K32"/>
    <x:mergeCell ref="B33:K3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.6700000762939453" hidden="0" customWidth="1"/>
    <x:col min="2" max="2" width="20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7.780000686645508" hidden="0" customWidth="1"/>
    <x:col min="8" max="8" width="25.559999465942383" hidden="0" customWidth="1"/>
    <x:col min="9" max="9" width="18.889999389648438" hidden="0" customWidth="1"/>
    <x:col min="10" max="10" width="23.329999923706055" hidden="0" customWidth="1"/>
    <x:col min="11" max="11" width="20" hidden="0" customWidth="1"/>
    <x:col min="12" max="12" width="17.780000686645508" hidden="0" customWidth="1"/>
    <x:col min="13" max="13" width="16.670000076293945" hidden="0" customWidth="1"/>
    <x:col min="14" max="14" width="16.670000076293945" hidden="0" customWidth="1"/>
    <x:col min="15" max="15" width="16.670000076293945" hidden="0" customWidth="1"/>
    <x:col min="16" max="16" width="16.670000076293945" hidden="0" customWidth="1"/>
    <x:col min="17" max="17" width="16.670000076293945" hidden="0" customWidth="1"/>
    <x:col min="18" max="18" width="16.670000076293945" hidden="0" customWidth="1"/>
    <x:col min="19" max="19" width="16.670000076293945" hidden="0" customWidth="1"/>
    <x:col min="20" max="20" width="16.670000076293945" hidden="0" customWidth="1"/>
    <x:col min="21" max="21" width="16.670000076293945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>
      <x:c r="A2" s="3"/>
      <x:c r="B2" s="230" t="str">
        <x:v>Debt &amp; Subscriptions</x:v>
      </x:c>
      <x:c r="C2" s="231" t="str"/>
      <x:c r="D2" s="231" t="str"/>
      <x:c r="E2" s="231" t="str"/>
      <x:c r="F2" s="231" t="str"/>
      <x:c r="G2" s="231" t="str"/>
      <x:c r="H2" s="231" t="str"/>
      <x:c r="I2" s="231" t="str"/>
      <x:c r="J2" s="231" t="str"/>
      <x:c r="K2" s="232" t="str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>
      <x:c r="A3" s="3"/>
      <x:c r="B3" s="233" t="str">
        <x:v>Enter debt details clearly and choose one focus area.</x:v>
      </x:c>
      <x:c r="C3" s="6" t="str"/>
      <x:c r="D3" s="6" t="str"/>
      <x:c r="E3" s="6" t="str"/>
      <x:c r="F3" s="6" t="str"/>
      <x:c r="G3" s="6" t="str"/>
      <x:c r="H3" s="6" t="str"/>
      <x:c r="I3" s="6" t="str"/>
      <x:c r="J3" s="6" t="str"/>
      <x:c r="K3" s="234" t="str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>
      <x:c r="A4" s="3"/>
      <x:c r="B4" s="235" t="str">
        <x:v>Purpose: reduce pressure without starving the rest of the month.</x:v>
      </x:c>
      <x:c r="C4" s="236" t="str"/>
      <x:c r="D4" s="236" t="str"/>
      <x:c r="E4" s="236" t="str"/>
      <x:c r="F4" s="236" t="str"/>
      <x:c r="G4" s="236" t="str"/>
      <x:c r="H4" s="236" t="str"/>
      <x:c r="I4" s="236" t="str"/>
      <x:c r="J4" s="236" t="str"/>
      <x:c r="K4" s="237" t="str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</x:row>
    <x:row r="6">
      <x:c r="A6" s="3"/>
      <x:c r="B6" s="256" t="str">
        <x:v>Debt details - enter blue cells; Monthly Total calculates automatically</x:v>
      </x:c>
      <x:c r="C6" s="257" t="str">
        <x:v>Debt details - enter blue cells; Monthly Total calculates automatically</x:v>
      </x:c>
      <x:c r="D6" s="257" t="str">
        <x:v>Debt details - enter blue cells; Monthly Total calculates automatically</x:v>
      </x:c>
      <x:c r="E6" s="257" t="str">
        <x:v>Debt details - enter blue cells; Monthly Total calculates automatically</x:v>
      </x:c>
      <x:c r="F6" s="257" t="str">
        <x:v>Debt details - enter blue cells; Monthly Total calculates automatically</x:v>
      </x:c>
      <x:c r="G6" s="257" t="str">
        <x:v>Debt details - enter blue cells; Monthly Total calculates automatically</x:v>
      </x:c>
      <x:c r="H6" s="257" t="str">
        <x:v>Debt details - enter blue cells; Monthly Total calculates automatically</x:v>
      </x:c>
      <x:c r="I6" s="257" t="str">
        <x:v>Debt details - enter blue cells; Monthly Total calculates automatically</x:v>
      </x:c>
      <x:c r="J6" s="329" t="str">
        <x:v>Leak summary</x:v>
      </x:c>
      <x:c r="K6" s="329" t="str">
        <x:v>Leak summary</x:v>
      </x:c>
      <x:c r="L6" s="258"/>
      <x:c r="M6" s="258"/>
      <x:c r="N6" s="258"/>
      <x:c r="O6" s="258"/>
      <x:c r="P6" s="258"/>
      <x:c r="Q6" s="258"/>
      <x:c r="R6" s="258"/>
      <x:c r="S6" s="258"/>
      <x:c r="T6" s="258"/>
      <x:c r="U6" s="259"/>
    </x:row>
    <x:row r="7" ht="31.5" customHeight="1">
      <x:c r="A7" s="3"/>
      <x:c r="B7" s="337" t="str">
        <x:v>Debt Name</x:v>
      </x:c>
      <x:c r="C7" s="338" t="str">
        <x:v>Current Balance</x:v>
      </x:c>
      <x:c r="D7" s="338" t="str">
        <x:v>Interest Rate / APR</x:v>
      </x:c>
      <x:c r="E7" s="338" t="str">
        <x:v>Minimum Payment</x:v>
      </x:c>
      <x:c r="F7" s="338" t="str">
        <x:v>Extra Target</x:v>
      </x:c>
      <x:c r="G7" s="338" t="str">
        <x:v>Due Day</x:v>
      </x:c>
      <x:c r="H7" s="338" t="str">
        <x:v>Monthly Total</x:v>
      </x:c>
      <x:c r="I7" s="338" t="str">
        <x:v>Notes</x:v>
      </x:c>
      <x:c r="J7" s="252" t="str">
        <x:v>Total debt minimums</x:v>
      </x:c>
      <x:c r="K7" s="292" t="n">
        <x:f>SUM(E8:E16)</x:f>
        <x:v>940</x:v>
      </x:c>
      <x:c r="L7" s="244"/>
      <x:c r="M7" s="244"/>
      <x:c r="N7" s="244"/>
      <x:c r="O7" s="244"/>
      <x:c r="P7" s="244"/>
      <x:c r="Q7" s="244"/>
      <x:c r="R7" s="244"/>
      <x:c r="S7" s="244"/>
      <x:c r="T7" s="244"/>
      <x:c r="U7" s="261"/>
    </x:row>
    <x:row r="8">
      <x:c r="A8" s="3"/>
      <x:c r="B8" s="330" t="str">
        <x:v>Credit Card 1</x:v>
      </x:c>
      <x:c r="C8" s="319" t="n">
        <x:v>4200</x:v>
      </x:c>
      <x:c r="D8" s="326" t="n">
        <x:v>0.24989999999999998</x:v>
      </x:c>
      <x:c r="E8" s="319" t="n">
        <x:v>140</x:v>
      </x:c>
      <x:c r="F8" s="319" t="n">
        <x:v>125</x:v>
      </x:c>
      <x:c r="G8" s="318" t="n">
        <x:v>22</x:v>
      </x:c>
      <x:c r="H8" s="327" t="n">
        <x:f>IF(B8="","",E8+F8)</x:f>
        <x:v>265</x:v>
      </x:c>
      <x:c r="I8" s="318" t="str">
        <x:v>High interest</x:v>
      </x:c>
      <x:c r="J8" s="252" t="str">
        <x:v>Extra payoff target</x:v>
      </x:c>
      <x:c r="K8" s="292" t="n">
        <x:f>SUM(F8:F16)</x:f>
        <x:v>175</x:v>
      </x:c>
      <x:c r="L8" s="244"/>
      <x:c r="M8" s="244"/>
      <x:c r="N8" s="244"/>
      <x:c r="O8" s="244"/>
      <x:c r="P8" s="244"/>
      <x:c r="Q8" s="244"/>
      <x:c r="R8" s="244"/>
      <x:c r="S8" s="244"/>
      <x:c r="T8" s="244"/>
      <x:c r="U8" s="261"/>
    </x:row>
    <x:row r="9">
      <x:c r="A9" s="3"/>
      <x:c r="B9" s="330" t="str">
        <x:v>Credit Card 2</x:v>
      </x:c>
      <x:c r="C9" s="319" t="n">
        <x:v>1800</x:v>
      </x:c>
      <x:c r="D9" s="326" t="n">
        <x:v>0.1999</x:v>
      </x:c>
      <x:c r="E9" s="319" t="n">
        <x:v>70</x:v>
      </x:c>
      <x:c r="F9" s="319" t="n">
        <x:v>50</x:v>
      </x:c>
      <x:c r="G9" s="318" t="n">
        <x:v>8</x:v>
      </x:c>
      <x:c r="H9" s="327" t="n">
        <x:f>IF(B9="","",E9+F9)</x:f>
        <x:v>120</x:v>
      </x:c>
      <x:c r="I9" s="318" t="str">
        <x:v>Smallest balance</x:v>
      </x:c>
      <x:c r="J9" s="252" t="str">
        <x:v>Subscription total</x:v>
      </x:c>
      <x:c r="K9" s="292" t="n">
        <x:f>SUM(C21:C33)</x:f>
        <x:v>218</x:v>
      </x:c>
      <x:c r="L9" s="244"/>
      <x:c r="M9" s="244"/>
      <x:c r="N9" s="244"/>
      <x:c r="O9" s="244"/>
      <x:c r="P9" s="244"/>
      <x:c r="Q9" s="244"/>
      <x:c r="R9" s="244"/>
      <x:c r="S9" s="244"/>
      <x:c r="T9" s="244"/>
      <x:c r="U9" s="261"/>
    </x:row>
    <x:row r="10">
      <x:c r="A10" s="3"/>
      <x:c r="B10" s="330" t="str">
        <x:v>Student Loan</x:v>
      </x:c>
      <x:c r="C10" s="319" t="n">
        <x:v>14500</x:v>
      </x:c>
      <x:c r="D10" s="326" t="n">
        <x:v>0.065</x:v>
      </x:c>
      <x:c r="E10" s="319" t="n">
        <x:v>310</x:v>
      </x:c>
      <x:c r="F10" s="319" t="n">
        <x:v>0</x:v>
      </x:c>
      <x:c r="G10" s="318" t="n">
        <x:v>25</x:v>
      </x:c>
      <x:c r="H10" s="327" t="n">
        <x:f>IF(B10="","",E10+F10)</x:f>
        <x:v>310</x:v>
      </x:c>
      <x:c r="I10" s="318" t="str">
        <x:v>Steady minimum</x:v>
      </x:c>
      <x:c r="J10" s="252" t="str">
        <x:v>Cut list total</x:v>
      </x:c>
      <x:c r="K10" s="292" t="n">
        <x:f>SUMIF(D21:D33,"Cut",C21:C33)</x:f>
        <x:v>26</x:v>
      </x:c>
      <x:c r="L10" s="244"/>
      <x:c r="M10" s="244"/>
      <x:c r="N10" s="244"/>
      <x:c r="O10" s="244"/>
      <x:c r="P10" s="244"/>
      <x:c r="Q10" s="244"/>
      <x:c r="R10" s="244"/>
      <x:c r="S10" s="244"/>
      <x:c r="T10" s="244"/>
      <x:c r="U10" s="261"/>
    </x:row>
    <x:row r="11">
      <x:c r="A11" s="3"/>
      <x:c r="B11" s="330" t="str">
        <x:v>Car Loan</x:v>
      </x:c>
      <x:c r="C11" s="319" t="n">
        <x:v>9300</x:v>
      </x:c>
      <x:c r="D11" s="326" t="n">
        <x:v>0.07200000000000001</x:v>
      </x:c>
      <x:c r="E11" s="319" t="n">
        <x:v>420</x:v>
      </x:c>
      <x:c r="F11" s="319" t="n">
        <x:v>0</x:v>
      </x:c>
      <x:c r="G11" s="318" t="n">
        <x:v>8</x:v>
      </x:c>
      <x:c r="H11" s="327" t="n">
        <x:f>IF(B11="","",E11+F11)</x:f>
        <x:v>420</x:v>
      </x:c>
      <x:c r="I11" s="318" t="str">
        <x:v>Fixed payment</x:v>
      </x:c>
      <x:c r="J11" s="252" t="str">
        <x:v>Annual subscription cost</x:v>
      </x:c>
      <x:c r="K11" s="292" t="n">
        <x:f>SUM(E21:E33)</x:f>
        <x:v>2616</x:v>
      </x:c>
      <x:c r="L11" s="244"/>
      <x:c r="M11" s="244"/>
      <x:c r="N11" s="244"/>
      <x:c r="O11" s="244"/>
      <x:c r="P11" s="244"/>
      <x:c r="Q11" s="244"/>
      <x:c r="R11" s="244"/>
      <x:c r="S11" s="244"/>
      <x:c r="T11" s="244"/>
      <x:c r="U11" s="261"/>
    </x:row>
    <x:row r="12">
      <x:c r="A12" s="3"/>
      <x:c r="B12" s="330" t="str"/>
      <x:c r="C12" s="319" t="str"/>
      <x:c r="D12" s="326" t="str"/>
      <x:c r="E12" s="319" t="str"/>
      <x:c r="F12" s="319" t="str"/>
      <x:c r="G12" s="318" t="str"/>
      <x:c r="H12" s="327" t="str">
        <x:f>IF(B12="","",E12+F12)</x:f>
      </x:c>
      <x:c r="I12" s="318" t="str"/>
      <x:c r="J12" s="252" t="str">
        <x:v>Next move</x:v>
      </x:c>
      <x:c r="K12" s="252" t="str">
        <x:f>IF(K10&gt;0,"Cancel $"&amp;TEXT(K10,"#,##0")&amp;"/mo of unused subscriptions",IF(K8&gt;0,"Apply extra payoff target intentionally","Keep tracking"))</x:f>
        <x:v>Cancel $26/mo of unused subscriptions</x:v>
      </x:c>
      <x:c r="L12" s="244"/>
      <x:c r="M12" s="244"/>
      <x:c r="N12" s="244"/>
      <x:c r="O12" s="244"/>
      <x:c r="P12" s="244"/>
      <x:c r="Q12" s="244"/>
      <x:c r="R12" s="244"/>
      <x:c r="S12" s="244"/>
      <x:c r="T12" s="244"/>
      <x:c r="U12" s="261"/>
    </x:row>
    <x:row r="13">
      <x:c r="A13" s="3"/>
      <x:c r="B13" s="330" t="str"/>
      <x:c r="C13" s="319" t="str"/>
      <x:c r="D13" s="326" t="str"/>
      <x:c r="E13" s="319" t="str"/>
      <x:c r="F13" s="319" t="str"/>
      <x:c r="G13" s="318" t="str"/>
      <x:c r="H13" s="327" t="str">
        <x:f>IF(B13="","",E13+F13)</x:f>
      </x:c>
      <x:c r="I13" s="318" t="str"/>
      <x:c r="J13" s="244"/>
      <x:c r="K13" s="244"/>
      <x:c r="L13" s="244"/>
      <x:c r="M13" s="244"/>
      <x:c r="N13" s="244"/>
      <x:c r="O13" s="244"/>
      <x:c r="P13" s="244"/>
      <x:c r="Q13" s="244"/>
      <x:c r="R13" s="244"/>
      <x:c r="S13" s="244"/>
      <x:c r="T13" s="244"/>
      <x:c r="U13" s="261"/>
    </x:row>
    <x:row r="14">
      <x:c r="A14" s="3"/>
      <x:c r="B14" s="330" t="str"/>
      <x:c r="C14" s="319" t="str"/>
      <x:c r="D14" s="326" t="str"/>
      <x:c r="E14" s="319" t="str"/>
      <x:c r="F14" s="319" t="str"/>
      <x:c r="G14" s="318" t="str"/>
      <x:c r="H14" s="327" t="str">
        <x:f>IF(B14="","",E14+F14)</x:f>
      </x:c>
      <x:c r="I14" s="318" t="str"/>
      <x:c r="J14" s="244"/>
      <x:c r="K14" s="244"/>
      <x:c r="L14" s="244"/>
      <x:c r="M14" s="244"/>
      <x:c r="N14" s="244"/>
      <x:c r="O14" s="244"/>
      <x:c r="P14" s="244"/>
      <x:c r="Q14" s="244"/>
      <x:c r="R14" s="244"/>
      <x:c r="S14" s="244"/>
      <x:c r="T14" s="244"/>
      <x:c r="U14" s="261"/>
    </x:row>
    <x:row r="15">
      <x:c r="A15" s="3"/>
      <x:c r="B15" s="330" t="str"/>
      <x:c r="C15" s="319" t="str"/>
      <x:c r="D15" s="326" t="str"/>
      <x:c r="E15" s="319" t="str"/>
      <x:c r="F15" s="319" t="str"/>
      <x:c r="G15" s="318" t="str"/>
      <x:c r="H15" s="327" t="str">
        <x:f>IF(B15="","",E15+F15)</x:f>
      </x:c>
      <x:c r="I15" s="318" t="str"/>
      <x:c r="J15" s="328" t="str">
        <x:v>Daily Log reminder</x:v>
      </x:c>
      <x:c r="K15" s="328" t="str">
        <x:v>Daily Log reminder</x:v>
      </x:c>
      <x:c r="L15" s="244"/>
      <x:c r="M15" s="244"/>
      <x:c r="N15" s="244"/>
      <x:c r="O15" s="244"/>
      <x:c r="P15" s="244"/>
      <x:c r="Q15" s="244"/>
      <x:c r="R15" s="244"/>
      <x:c r="S15" s="244"/>
      <x:c r="T15" s="244"/>
      <x:c r="U15" s="261"/>
    </x:row>
    <x:row r="16">
      <x:c r="A16" s="3"/>
      <x:c r="B16" s="330" t="str"/>
      <x:c r="C16" s="319" t="str"/>
      <x:c r="D16" s="326" t="str"/>
      <x:c r="E16" s="319" t="str"/>
      <x:c r="F16" s="319" t="str"/>
      <x:c r="G16" s="318" t="str"/>
      <x:c r="H16" s="327" t="str">
        <x:f>IF(B16="","",E16+F16)</x:f>
      </x:c>
      <x:c r="I16" s="318" t="str"/>
      <x:c r="J16" s="250" t="str">
        <x:v>When a debt payment actually happens, enter it on Daily Log with Category = Debt.</x:v>
      </x:c>
      <x:c r="K16" s="250" t="str"/>
      <x:c r="L16" s="244"/>
      <x:c r="M16" s="244"/>
      <x:c r="N16" s="244"/>
      <x:c r="O16" s="244"/>
      <x:c r="P16" s="244"/>
      <x:c r="Q16" s="244"/>
      <x:c r="R16" s="244"/>
      <x:c r="S16" s="244"/>
      <x:c r="T16" s="244"/>
      <x:c r="U16" s="261"/>
    </x:row>
    <x:row r="17">
      <x:c r="A17" s="3"/>
      <x:c r="B17" s="262"/>
      <x:c r="C17" s="244"/>
      <x:c r="D17" s="244"/>
      <x:c r="E17" s="244"/>
      <x:c r="F17" s="244"/>
      <x:c r="G17" s="244"/>
      <x:c r="H17" s="244"/>
      <x:c r="I17" s="244"/>
      <x:c r="J17" s="250" t="str">
        <x:v>When a subscription charge actually happens, enter it on Daily Log with Category = Subscriptions.</x:v>
      </x:c>
      <x:c r="K17" s="250" t="str"/>
      <x:c r="L17" s="244"/>
      <x:c r="M17" s="244"/>
      <x:c r="N17" s="244"/>
      <x:c r="O17" s="244"/>
      <x:c r="P17" s="244"/>
      <x:c r="Q17" s="244"/>
      <x:c r="R17" s="244"/>
      <x:c r="S17" s="244"/>
      <x:c r="T17" s="244"/>
      <x:c r="U17" s="261"/>
    </x:row>
    <x:row r="18">
      <x:c r="A18" s="3"/>
      <x:c r="B18" s="262"/>
      <x:c r="C18" s="244"/>
      <x:c r="D18" s="244"/>
      <x:c r="E18" s="244"/>
      <x:c r="F18" s="244"/>
      <x:c r="G18" s="244"/>
      <x:c r="H18" s="244"/>
      <x:c r="I18" s="244"/>
      <x:c r="J18" s="250" t="str">
        <x:v>This keeps budget and actuals clean without double-entry.</x:v>
      </x:c>
      <x:c r="K18" s="250" t="str"/>
      <x:c r="L18" s="244"/>
      <x:c r="M18" s="244"/>
      <x:c r="N18" s="244"/>
      <x:c r="O18" s="244"/>
      <x:c r="P18" s="244"/>
      <x:c r="Q18" s="244"/>
      <x:c r="R18" s="244"/>
      <x:c r="S18" s="244"/>
      <x:c r="T18" s="244"/>
      <x:c r="U18" s="261"/>
    </x:row>
    <x:row r="19">
      <x:c r="A19" s="3"/>
      <x:c r="B19" s="263" t="str">
        <x:v>Subscription audit</x:v>
      </x:c>
      <x:c r="C19" s="248" t="str">
        <x:v>Subscription audit</x:v>
      </x:c>
      <x:c r="D19" s="248" t="str">
        <x:v>Subscription audit</x:v>
      </x:c>
      <x:c r="E19" s="248" t="str">
        <x:v>Subscription audit</x:v>
      </x:c>
      <x:c r="F19" s="248" t="str">
        <x:v>Subscription audit</x:v>
      </x:c>
      <x:c r="G19" s="248" t="str">
        <x:v>Subscription audit</x:v>
      </x:c>
      <x:c r="H19" s="248" t="str">
        <x:v>Subscription audit</x:v>
      </x:c>
      <x:c r="I19" s="244"/>
      <x:c r="J19" s="244"/>
      <x:c r="K19" s="244"/>
      <x:c r="L19" s="244"/>
      <x:c r="M19" s="244"/>
      <x:c r="N19" s="244"/>
      <x:c r="O19" s="244"/>
      <x:c r="P19" s="244"/>
      <x:c r="Q19" s="244"/>
      <x:c r="R19" s="244"/>
      <x:c r="S19" s="244"/>
      <x:c r="T19" s="244"/>
      <x:c r="U19" s="261"/>
    </x:row>
    <x:row r="20" ht="31.5" customHeight="1">
      <x:c r="A20" s="3"/>
      <x:c r="B20" s="337" t="str">
        <x:v>Subscription</x:v>
      </x:c>
      <x:c r="C20" s="338" t="str">
        <x:v>Monthly Cost</x:v>
      </x:c>
      <x:c r="D20" s="338" t="str">
        <x:v>Keep / Cut / Review</x:v>
      </x:c>
      <x:c r="E20" s="338" t="str">
        <x:v>Annual Cost</x:v>
      </x:c>
      <x:c r="F20" s="338" t="str">
        <x:v>Reason</x:v>
      </x:c>
      <x:c r="G20" s="338" t="str">
        <x:v>Action</x:v>
      </x:c>
      <x:c r="H20" s="244"/>
      <x:c r="I20" s="244"/>
      <x:c r="J20" s="321" t="str">
        <x:v>Debt column guide</x:v>
      </x:c>
      <x:c r="K20" s="321" t="str">
        <x:v>Debt column guide</x:v>
      </x:c>
      <x:c r="L20" s="244"/>
      <x:c r="M20" s="244"/>
      <x:c r="N20" s="244"/>
      <x:c r="O20" s="244"/>
      <x:c r="P20" s="244"/>
      <x:c r="Q20" s="244"/>
      <x:c r="R20" s="244"/>
      <x:c r="S20" s="244"/>
      <x:c r="T20" s="244"/>
      <x:c r="U20" s="261"/>
    </x:row>
    <x:row r="21">
      <x:c r="A21" s="3"/>
      <x:c r="B21" s="330" t="str">
        <x:v>Streaming bundle</x:v>
      </x:c>
      <x:c r="C21" s="319" t="n">
        <x:v>39</x:v>
      </x:c>
      <x:c r="D21" s="318" t="str">
        <x:v>Review</x:v>
      </x:c>
      <x:c r="E21" s="327" t="n">
        <x:f>IF(C21="","",C21*12)</x:f>
        <x:v>468</x:v>
      </x:c>
      <x:c r="F21" s="318" t="str">
        <x:v>Overlaps with another subscription</x:v>
      </x:c>
      <x:c r="G21" s="318" t="str">
        <x:v>Decide by payday</x:v>
      </x:c>
      <x:c r="H21" s="244"/>
      <x:c r="I21" s="244"/>
      <x:c r="J21" s="322" t="str">
        <x:v>Current Balance</x:v>
      </x:c>
      <x:c r="K21" s="243" t="str">
        <x:v>Total amount still owed today</x:v>
      </x:c>
      <x:c r="L21" s="244"/>
      <x:c r="M21" s="244"/>
      <x:c r="N21" s="244"/>
      <x:c r="O21" s="244"/>
      <x:c r="P21" s="244"/>
      <x:c r="Q21" s="244"/>
      <x:c r="R21" s="244"/>
      <x:c r="S21" s="244"/>
      <x:c r="T21" s="244"/>
      <x:c r="U21" s="261"/>
    </x:row>
    <x:row r="22">
      <x:c r="A22" s="3"/>
      <x:c r="B22" s="330" t="str">
        <x:v>Music</x:v>
      </x:c>
      <x:c r="C22" s="319" t="n">
        <x:v>11</x:v>
      </x:c>
      <x:c r="D22" s="318" t="str">
        <x:v>Keep</x:v>
      </x:c>
      <x:c r="E22" s="327" t="n">
        <x:f>IF(C22="","",C22*12)</x:f>
        <x:v>132</x:v>
      </x:c>
      <x:c r="F22" s="318" t="str">
        <x:v>Used daily</x:v>
      </x:c>
      <x:c r="G22" s="318" t="str">
        <x:v>Keep</x:v>
      </x:c>
      <x:c r="H22" s="244"/>
      <x:c r="I22" s="244"/>
      <x:c r="J22" s="322" t="str">
        <x:v>Interest Rate / APR</x:v>
      </x:c>
      <x:c r="K22" s="243" t="str">
        <x:v>Annual interest rate shown as a percentage</x:v>
      </x:c>
      <x:c r="L22" s="244"/>
      <x:c r="M22" s="244"/>
      <x:c r="N22" s="244"/>
      <x:c r="O22" s="244"/>
      <x:c r="P22" s="244"/>
      <x:c r="Q22" s="244"/>
      <x:c r="R22" s="244"/>
      <x:c r="S22" s="244"/>
      <x:c r="T22" s="244"/>
      <x:c r="U22" s="261"/>
    </x:row>
    <x:row r="23">
      <x:c r="A23" s="3"/>
      <x:c r="B23" s="330" t="str">
        <x:v>Fitness app</x:v>
      </x:c>
      <x:c r="C23" s="319" t="n">
        <x:v>19</x:v>
      </x:c>
      <x:c r="D23" s="318" t="str">
        <x:v>Cut</x:v>
      </x:c>
      <x:c r="E23" s="327" t="n">
        <x:f>IF(C23="","",C23*12)</x:f>
        <x:v>228</x:v>
      </x:c>
      <x:c r="F23" s="318" t="str">
        <x:v>Not used this month</x:v>
      </x:c>
      <x:c r="G23" s="318" t="str">
        <x:v>Cancel this week</x:v>
      </x:c>
      <x:c r="H23" s="244"/>
      <x:c r="I23" s="244"/>
      <x:c r="J23" s="322" t="str">
        <x:v>Minimum Payment</x:v>
      </x:c>
      <x:c r="K23" s="243" t="str">
        <x:v>Required monthly payment</x:v>
      </x:c>
      <x:c r="L23" s="244"/>
      <x:c r="M23" s="244"/>
      <x:c r="N23" s="244"/>
      <x:c r="O23" s="244"/>
      <x:c r="P23" s="244"/>
      <x:c r="Q23" s="244"/>
      <x:c r="R23" s="244"/>
      <x:c r="S23" s="244"/>
      <x:c r="T23" s="244"/>
      <x:c r="U23" s="261"/>
    </x:row>
    <x:row r="24">
      <x:c r="A24" s="3"/>
      <x:c r="B24" s="330" t="str">
        <x:v>Cloud storage</x:v>
      </x:c>
      <x:c r="C24" s="319" t="n">
        <x:v>10</x:v>
      </x:c>
      <x:c r="D24" s="318" t="str">
        <x:v>Keep</x:v>
      </x:c>
      <x:c r="E24" s="327" t="n">
        <x:f>IF(C24="","",C24*12)</x:f>
        <x:v>120</x:v>
      </x:c>
      <x:c r="F24" s="318" t="str">
        <x:v>Needed</x:v>
      </x:c>
      <x:c r="G24" s="318" t="str">
        <x:v>Keep</x:v>
      </x:c>
      <x:c r="H24" s="244"/>
      <x:c r="I24" s="244"/>
      <x:c r="J24" s="322" t="str">
        <x:v>Extra Target</x:v>
      </x:c>
      <x:c r="K24" s="243" t="str">
        <x:v>Optional extra amount you plan to pay</x:v>
      </x:c>
      <x:c r="L24" s="244"/>
      <x:c r="M24" s="244"/>
      <x:c r="N24" s="244"/>
      <x:c r="O24" s="244"/>
      <x:c r="P24" s="244"/>
      <x:c r="Q24" s="244"/>
      <x:c r="R24" s="244"/>
      <x:c r="S24" s="244"/>
      <x:c r="T24" s="244"/>
      <x:c r="U24" s="261"/>
    </x:row>
    <x:row r="25">
      <x:c r="A25" s="3"/>
      <x:c r="B25" s="330" t="str">
        <x:v>Meal plan app</x:v>
      </x:c>
      <x:c r="C25" s="319" t="n">
        <x:v>29</x:v>
      </x:c>
      <x:c r="D25" s="318" t="str">
        <x:v>Review</x:v>
      </x:c>
      <x:c r="E25" s="327" t="n">
        <x:f>IF(C25="","",C25*12)</x:f>
        <x:v>348</x:v>
      </x:c>
      <x:c r="F25" s="318" t="str">
        <x:v>Could pause</x:v>
      </x:c>
      <x:c r="G25" s="318" t="str">
        <x:v>Decide by payday</x:v>
      </x:c>
      <x:c r="H25" s="244"/>
      <x:c r="I25" s="244"/>
      <x:c r="J25" s="322" t="str">
        <x:v>Due Day</x:v>
      </x:c>
      <x:c r="K25" s="243" t="str">
        <x:v>Calendar day the payment is due</x:v>
      </x:c>
      <x:c r="L25" s="244"/>
      <x:c r="M25" s="244"/>
      <x:c r="N25" s="244"/>
      <x:c r="O25" s="244"/>
      <x:c r="P25" s="244"/>
      <x:c r="Q25" s="244"/>
      <x:c r="R25" s="244"/>
      <x:c r="S25" s="244"/>
      <x:c r="T25" s="244"/>
      <x:c r="U25" s="261"/>
    </x:row>
    <x:row r="26">
      <x:c r="A26" s="3"/>
      <x:c r="B26" s="330" t="str">
        <x:v>News app</x:v>
      </x:c>
      <x:c r="C26" s="319" t="n">
        <x:v>7</x:v>
      </x:c>
      <x:c r="D26" s="318" t="str">
        <x:v>Cut</x:v>
      </x:c>
      <x:c r="E26" s="327" t="n">
        <x:f>IF(C26="","",C26*12)</x:f>
        <x:v>84</x:v>
      </x:c>
      <x:c r="F26" s="318" t="str">
        <x:v>Rarely used</x:v>
      </x:c>
      <x:c r="G26" s="318" t="str">
        <x:v>Cancel this week</x:v>
      </x:c>
      <x:c r="H26" s="244"/>
      <x:c r="I26" s="244"/>
      <x:c r="J26" s="322" t="str">
        <x:v>Monthly Total</x:v>
      </x:c>
      <x:c r="K26" s="243" t="str">
        <x:v>Automatic: minimum payment plus extra target</x:v>
      </x:c>
      <x:c r="L26" s="244"/>
      <x:c r="M26" s="244"/>
      <x:c r="N26" s="244"/>
      <x:c r="O26" s="244"/>
      <x:c r="P26" s="244"/>
      <x:c r="Q26" s="244"/>
      <x:c r="R26" s="244"/>
      <x:c r="S26" s="244"/>
      <x:c r="T26" s="244"/>
      <x:c r="U26" s="261"/>
    </x:row>
    <x:row r="27">
      <x:c r="A27" s="3"/>
      <x:c r="B27" s="330" t="str">
        <x:v>Design app</x:v>
      </x:c>
      <x:c r="C27" s="319" t="n">
        <x:v>35</x:v>
      </x:c>
      <x:c r="D27" s="318" t="str">
        <x:v>Review</x:v>
      </x:c>
      <x:c r="E27" s="327" t="n">
        <x:f>IF(C27="","",C27*12)</x:f>
        <x:v>420</x:v>
      </x:c>
      <x:c r="F27" s="318" t="str">
        <x:v>Check if still needed</x:v>
      </x:c>
      <x:c r="G27" s="318" t="str">
        <x:v>Decide by payday</x:v>
      </x:c>
      <x:c r="H27" s="244"/>
      <x:c r="I27" s="244"/>
      <x:c r="J27" s="322" t="str">
        <x:v>Notes</x:v>
      </x:c>
      <x:c r="K27" s="243" t="str">
        <x:v>Anything that helps explain the debt or strategy</x:v>
      </x:c>
      <x:c r="L27" s="244"/>
      <x:c r="M27" s="244"/>
      <x:c r="N27" s="244"/>
      <x:c r="O27" s="244"/>
      <x:c r="P27" s="244"/>
      <x:c r="Q27" s="244"/>
      <x:c r="R27" s="244"/>
      <x:c r="S27" s="244"/>
      <x:c r="T27" s="244"/>
      <x:c r="U27" s="261"/>
    </x:row>
    <x:row r="28">
      <x:c r="A28" s="3"/>
      <x:c r="B28" s="330" t="str">
        <x:v>Membership</x:v>
      </x:c>
      <x:c r="C28" s="319" t="n">
        <x:v>68</x:v>
      </x:c>
      <x:c r="D28" s="318" t="str">
        <x:v>Review</x:v>
      </x:c>
      <x:c r="E28" s="327" t="n">
        <x:f>IF(C28="","",C28*12)</x:f>
        <x:v>816</x:v>
      </x:c>
      <x:c r="F28" s="318" t="str">
        <x:v>Annual value unclear</x:v>
      </x:c>
      <x:c r="G28" s="318" t="str">
        <x:v>Decide by payday</x:v>
      </x:c>
      <x:c r="H28" s="244"/>
      <x:c r="I28" s="244"/>
      <x:c r="J28" s="322" t="str">
        <x:v>Color key</x:v>
      </x:c>
      <x:c r="K28" s="243" t="str">
        <x:v>Blue/yellow = enter it; green = calculated</x:v>
      </x:c>
      <x:c r="L28" s="244"/>
      <x:c r="M28" s="244"/>
      <x:c r="N28" s="244"/>
      <x:c r="O28" s="244"/>
      <x:c r="P28" s="244"/>
      <x:c r="Q28" s="244"/>
      <x:c r="R28" s="244"/>
      <x:c r="S28" s="244"/>
      <x:c r="T28" s="244"/>
      <x:c r="U28" s="261"/>
    </x:row>
    <x:row r="29">
      <x:c r="A29" s="3"/>
      <x:c r="B29" s="330" t="str"/>
      <x:c r="C29" s="319" t="str"/>
      <x:c r="D29" s="318" t="str"/>
      <x:c r="E29" s="327" t="str">
        <x:f>IF(C29="","",C29*12)</x:f>
      </x:c>
      <x:c r="F29" s="318" t="str"/>
      <x:c r="G29" s="318" t="str"/>
      <x:c r="H29" s="244"/>
      <x:c r="I29" s="244"/>
      <x:c r="J29" s="244"/>
      <x:c r="K29" s="244"/>
      <x:c r="L29" s="244"/>
      <x:c r="M29" s="244"/>
      <x:c r="N29" s="244"/>
      <x:c r="O29" s="244"/>
      <x:c r="P29" s="244"/>
      <x:c r="Q29" s="244"/>
      <x:c r="R29" s="244"/>
      <x:c r="S29" s="244"/>
      <x:c r="T29" s="244"/>
      <x:c r="U29" s="261"/>
    </x:row>
    <x:row r="30">
      <x:c r="A30" s="3"/>
      <x:c r="B30" s="330" t="str"/>
      <x:c r="C30" s="319" t="str"/>
      <x:c r="D30" s="318" t="str"/>
      <x:c r="E30" s="327" t="str">
        <x:f>IF(C30="","",C30*12)</x:f>
      </x:c>
      <x:c r="F30" s="318" t="str"/>
      <x:c r="G30" s="318" t="str"/>
      <x:c r="H30" s="244"/>
      <x:c r="I30" s="244"/>
      <x:c r="J30" s="244"/>
      <x:c r="K30" s="244"/>
      <x:c r="L30" s="244"/>
      <x:c r="M30" s="244"/>
      <x:c r="N30" s="244"/>
      <x:c r="O30" s="244"/>
      <x:c r="P30" s="244"/>
      <x:c r="Q30" s="244"/>
      <x:c r="R30" s="244"/>
      <x:c r="S30" s="244"/>
      <x:c r="T30" s="244"/>
      <x:c r="U30" s="261"/>
    </x:row>
    <x:row r="31">
      <x:c r="A31" s="3"/>
      <x:c r="B31" s="330" t="str"/>
      <x:c r="C31" s="319" t="str"/>
      <x:c r="D31" s="318" t="str"/>
      <x:c r="E31" s="327" t="str">
        <x:f>IF(C31="","",C31*12)</x:f>
      </x:c>
      <x:c r="F31" s="318" t="str"/>
      <x:c r="G31" s="318" t="str"/>
      <x:c r="H31" s="244"/>
      <x:c r="I31" s="244"/>
      <x:c r="J31" s="244"/>
      <x:c r="K31" s="244"/>
      <x:c r="L31" s="244"/>
      <x:c r="M31" s="244"/>
      <x:c r="N31" s="244"/>
      <x:c r="O31" s="244"/>
      <x:c r="P31" s="244"/>
      <x:c r="Q31" s="244"/>
      <x:c r="R31" s="244"/>
      <x:c r="S31" s="244"/>
      <x:c r="T31" s="244"/>
      <x:c r="U31" s="261"/>
    </x:row>
    <x:row r="32">
      <x:c r="A32" s="3"/>
      <x:c r="B32" s="330" t="str"/>
      <x:c r="C32" s="319" t="str"/>
      <x:c r="D32" s="318" t="str"/>
      <x:c r="E32" s="327" t="str">
        <x:f>IF(C32="","",C32*12)</x:f>
      </x:c>
      <x:c r="F32" s="318" t="str"/>
      <x:c r="G32" s="318" t="str"/>
      <x:c r="H32" s="244"/>
      <x:c r="I32" s="244"/>
      <x:c r="J32" s="244"/>
      <x:c r="K32" s="244"/>
      <x:c r="L32" s="244"/>
      <x:c r="M32" s="244"/>
      <x:c r="N32" s="244"/>
      <x:c r="O32" s="244"/>
      <x:c r="P32" s="244"/>
      <x:c r="Q32" s="244"/>
      <x:c r="R32" s="244"/>
      <x:c r="S32" s="244"/>
      <x:c r="T32" s="244"/>
      <x:c r="U32" s="261"/>
    </x:row>
    <x:row r="33">
      <x:c r="A33" s="3"/>
      <x:c r="B33" s="330" t="str"/>
      <x:c r="C33" s="319" t="str"/>
      <x:c r="D33" s="318" t="str"/>
      <x:c r="E33" s="327" t="str">
        <x:f>IF(C33="","",C33*12)</x:f>
      </x:c>
      <x:c r="F33" s="318" t="str"/>
      <x:c r="G33" s="318" t="str"/>
      <x:c r="H33" s="244"/>
      <x:c r="I33" s="244"/>
      <x:c r="J33" s="244"/>
      <x:c r="K33" s="244"/>
      <x:c r="L33" s="244"/>
      <x:c r="M33" s="244"/>
      <x:c r="N33" s="244"/>
      <x:c r="O33" s="244"/>
      <x:c r="P33" s="244"/>
      <x:c r="Q33" s="244"/>
      <x:c r="R33" s="244"/>
      <x:c r="S33" s="244"/>
      <x:c r="T33" s="244"/>
      <x:c r="U33" s="261"/>
    </x:row>
    <x:row r="34">
      <x:c r="A34" s="3"/>
      <x:c r="B34" s="262"/>
      <x:c r="C34" s="244"/>
      <x:c r="D34" s="244"/>
      <x:c r="E34" s="244"/>
      <x:c r="F34" s="244"/>
      <x:c r="G34" s="244"/>
      <x:c r="H34" s="244"/>
      <x:c r="I34" s="244"/>
      <x:c r="J34" s="244"/>
      <x:c r="K34" s="244"/>
      <x:c r="L34" s="244"/>
      <x:c r="M34" s="244"/>
      <x:c r="N34" s="244"/>
      <x:c r="O34" s="244"/>
      <x:c r="P34" s="244"/>
      <x:c r="Q34" s="244"/>
      <x:c r="R34" s="244"/>
      <x:c r="S34" s="244"/>
      <x:c r="T34" s="244"/>
      <x:c r="U34" s="261"/>
    </x:row>
    <x:row r="35">
      <x:c r="A35" s="3"/>
      <x:c r="B35" s="262"/>
      <x:c r="C35" s="244"/>
      <x:c r="D35" s="244"/>
      <x:c r="E35" s="244"/>
      <x:c r="F35" s="244"/>
      <x:c r="G35" s="244"/>
      <x:c r="H35" s="244"/>
      <x:c r="I35" s="244"/>
      <x:c r="J35" s="244"/>
      <x:c r="K35" s="244"/>
      <x:c r="L35" s="244"/>
      <x:c r="M35" s="244"/>
      <x:c r="N35" s="244"/>
      <x:c r="O35" s="244"/>
      <x:c r="P35" s="244"/>
      <x:c r="Q35" s="244"/>
      <x:c r="R35" s="244"/>
      <x:c r="S35" s="244"/>
      <x:c r="T35" s="244"/>
      <x:c r="U35" s="261"/>
    </x:row>
    <x:row r="36">
      <x:c r="A36" s="3"/>
      <x:c r="B36" s="262"/>
      <x:c r="C36" s="244"/>
      <x:c r="D36" s="244"/>
      <x:c r="E36" s="244"/>
      <x:c r="F36" s="244"/>
      <x:c r="G36" s="244"/>
      <x:c r="H36" s="244"/>
      <x:c r="I36" s="244"/>
      <x:c r="J36" s="244"/>
      <x:c r="K36" s="244"/>
      <x:c r="L36" s="244"/>
      <x:c r="M36" s="244"/>
      <x:c r="N36" s="244"/>
      <x:c r="O36" s="244"/>
      <x:c r="P36" s="244"/>
      <x:c r="Q36" s="244"/>
      <x:c r="R36" s="244"/>
      <x:c r="S36" s="244"/>
      <x:c r="T36" s="244"/>
      <x:c r="U36" s="261"/>
    </x:row>
    <x:row r="37">
      <x:c r="A37" s="3"/>
      <x:c r="B37" s="262"/>
      <x:c r="C37" s="244"/>
      <x:c r="D37" s="244"/>
      <x:c r="E37" s="244"/>
      <x:c r="F37" s="244"/>
      <x:c r="G37" s="244"/>
      <x:c r="H37" s="244"/>
      <x:c r="I37" s="244"/>
      <x:c r="J37" s="244"/>
      <x:c r="K37" s="244"/>
      <x:c r="L37" s="244"/>
      <x:c r="M37" s="244"/>
      <x:c r="N37" s="244"/>
      <x:c r="O37" s="244"/>
      <x:c r="P37" s="244"/>
      <x:c r="Q37" s="244"/>
      <x:c r="R37" s="244"/>
      <x:c r="S37" s="244"/>
      <x:c r="T37" s="244"/>
      <x:c r="U37" s="261"/>
    </x:row>
    <x:row r="38">
      <x:c r="A38" s="3"/>
      <x:c r="B38" s="262"/>
      <x:c r="C38" s="244"/>
      <x:c r="D38" s="244"/>
      <x:c r="E38" s="244"/>
      <x:c r="F38" s="244"/>
      <x:c r="G38" s="244"/>
      <x:c r="H38" s="244"/>
      <x:c r="I38" s="244"/>
      <x:c r="J38" s="244"/>
      <x:c r="K38" s="244"/>
      <x:c r="L38" s="244"/>
      <x:c r="M38" s="244"/>
      <x:c r="N38" s="244"/>
      <x:c r="O38" s="244"/>
      <x:c r="P38" s="244"/>
      <x:c r="Q38" s="244"/>
      <x:c r="R38" s="244"/>
      <x:c r="S38" s="244"/>
      <x:c r="T38" s="244"/>
      <x:c r="U38" s="261"/>
    </x:row>
    <x:row r="39">
      <x:c r="A39" s="3"/>
      <x:c r="B39" s="262"/>
      <x:c r="C39" s="244"/>
      <x:c r="D39" s="244"/>
      <x:c r="E39" s="244"/>
      <x:c r="F39" s="244"/>
      <x:c r="G39" s="244"/>
      <x:c r="H39" s="244"/>
      <x:c r="I39" s="244"/>
      <x:c r="J39" s="244"/>
      <x:c r="K39" s="244"/>
      <x:c r="L39" s="244"/>
      <x:c r="M39" s="244"/>
      <x:c r="N39" s="244"/>
      <x:c r="O39" s="244"/>
      <x:c r="P39" s="244"/>
      <x:c r="Q39" s="244"/>
      <x:c r="R39" s="244"/>
      <x:c r="S39" s="244"/>
      <x:c r="T39" s="244"/>
      <x:c r="U39" s="261"/>
    </x:row>
    <x:row r="40">
      <x:c r="A40" s="3"/>
      <x:c r="B40" s="262"/>
      <x:c r="C40" s="244"/>
      <x:c r="D40" s="244"/>
      <x:c r="E40" s="244"/>
      <x:c r="F40" s="244"/>
      <x:c r="G40" s="244"/>
      <x:c r="H40" s="244"/>
      <x:c r="I40" s="244"/>
      <x:c r="J40" s="244"/>
      <x:c r="K40" s="244"/>
      <x:c r="L40" s="244"/>
      <x:c r="M40" s="244"/>
      <x:c r="N40" s="244"/>
      <x:c r="O40" s="244"/>
      <x:c r="P40" s="244"/>
      <x:c r="Q40" s="244"/>
      <x:c r="R40" s="244"/>
      <x:c r="S40" s="244"/>
      <x:c r="T40" s="244"/>
      <x:c r="U40" s="261"/>
    </x:row>
    <x:row r="41">
      <x:c r="A41" s="3"/>
      <x:c r="B41" s="262"/>
      <x:c r="C41" s="244"/>
      <x:c r="D41" s="244"/>
      <x:c r="E41" s="244"/>
      <x:c r="F41" s="244"/>
      <x:c r="G41" s="244"/>
      <x:c r="H41" s="244"/>
      <x:c r="I41" s="244"/>
      <x:c r="J41" s="244"/>
      <x:c r="K41" s="244"/>
      <x:c r="L41" s="244"/>
      <x:c r="M41" s="244"/>
      <x:c r="N41" s="244"/>
      <x:c r="O41" s="244"/>
      <x:c r="P41" s="244"/>
      <x:c r="Q41" s="244"/>
      <x:c r="R41" s="244"/>
      <x:c r="S41" s="244"/>
      <x:c r="T41" s="244"/>
      <x:c r="U41" s="261"/>
    </x:row>
    <x:row r="42">
      <x:c r="A42" s="3"/>
      <x:c r="B42" s="262"/>
      <x:c r="C42" s="244"/>
      <x:c r="D42" s="244"/>
      <x:c r="E42" s="244"/>
      <x:c r="F42" s="244"/>
      <x:c r="G42" s="244"/>
      <x:c r="H42" s="244"/>
      <x:c r="I42" s="244"/>
      <x:c r="J42" s="244"/>
      <x:c r="K42" s="244"/>
      <x:c r="L42" s="244"/>
      <x:c r="M42" s="244"/>
      <x:c r="N42" s="244"/>
      <x:c r="O42" s="244"/>
      <x:c r="P42" s="244"/>
      <x:c r="Q42" s="244"/>
      <x:c r="R42" s="244"/>
      <x:c r="S42" s="244"/>
      <x:c r="T42" s="244"/>
      <x:c r="U42" s="261"/>
    </x:row>
    <x:row r="43">
      <x:c r="A43" s="3"/>
      <x:c r="B43" s="262"/>
      <x:c r="C43" s="244"/>
      <x:c r="D43" s="244"/>
      <x:c r="E43" s="244"/>
      <x:c r="F43" s="244"/>
      <x:c r="G43" s="244"/>
      <x:c r="H43" s="244"/>
      <x:c r="I43" s="244"/>
      <x:c r="J43" s="244"/>
      <x:c r="K43" s="244"/>
      <x:c r="L43" s="244"/>
      <x:c r="M43" s="244"/>
      <x:c r="N43" s="244"/>
      <x:c r="O43" s="244"/>
      <x:c r="P43" s="244"/>
      <x:c r="Q43" s="244"/>
      <x:c r="R43" s="244"/>
      <x:c r="S43" s="244"/>
      <x:c r="T43" s="244"/>
      <x:c r="U43" s="261"/>
    </x:row>
    <x:row r="44">
      <x:c r="A44" s="3"/>
      <x:c r="B44" s="262"/>
      <x:c r="C44" s="244"/>
      <x:c r="D44" s="244"/>
      <x:c r="E44" s="244"/>
      <x:c r="F44" s="244"/>
      <x:c r="G44" s="244"/>
      <x:c r="H44" s="244"/>
      <x:c r="I44" s="244"/>
      <x:c r="J44" s="244"/>
      <x:c r="K44" s="244"/>
      <x:c r="L44" s="244"/>
      <x:c r="M44" s="244"/>
      <x:c r="N44" s="244"/>
      <x:c r="O44" s="244"/>
      <x:c r="P44" s="244"/>
      <x:c r="Q44" s="244"/>
      <x:c r="R44" s="244"/>
      <x:c r="S44" s="244"/>
      <x:c r="T44" s="244"/>
      <x:c r="U44" s="261"/>
    </x:row>
    <x:row r="45">
      <x:c r="A45" s="3"/>
      <x:c r="B45" s="262"/>
      <x:c r="C45" s="244"/>
      <x:c r="D45" s="244"/>
      <x:c r="E45" s="244"/>
      <x:c r="F45" s="244"/>
      <x:c r="G45" s="244"/>
      <x:c r="H45" s="244"/>
      <x:c r="I45" s="244"/>
      <x:c r="J45" s="244"/>
      <x:c r="K45" s="244"/>
      <x:c r="L45" s="244"/>
      <x:c r="M45" s="244"/>
      <x:c r="N45" s="244"/>
      <x:c r="O45" s="244"/>
      <x:c r="P45" s="244"/>
      <x:c r="Q45" s="244"/>
      <x:c r="R45" s="244"/>
      <x:c r="S45" s="244"/>
      <x:c r="T45" s="244"/>
      <x:c r="U45" s="261"/>
    </x:row>
    <x:row r="46">
      <x:c r="A46" s="3"/>
      <x:c r="B46" s="262"/>
      <x:c r="C46" s="244"/>
      <x:c r="D46" s="244"/>
      <x:c r="E46" s="244"/>
      <x:c r="F46" s="244"/>
      <x:c r="G46" s="244"/>
      <x:c r="H46" s="244"/>
      <x:c r="I46" s="244"/>
      <x:c r="J46" s="244"/>
      <x:c r="K46" s="244"/>
      <x:c r="L46" s="244"/>
      <x:c r="M46" s="244"/>
      <x:c r="N46" s="244"/>
      <x:c r="O46" s="244"/>
      <x:c r="P46" s="244"/>
      <x:c r="Q46" s="244"/>
      <x:c r="R46" s="244"/>
      <x:c r="S46" s="244"/>
      <x:c r="T46" s="244"/>
      <x:c r="U46" s="261"/>
    </x:row>
    <x:row r="47">
      <x:c r="A47" s="3"/>
      <x:c r="B47" s="262"/>
      <x:c r="C47" s="244"/>
      <x:c r="D47" s="244"/>
      <x:c r="E47" s="244"/>
      <x:c r="F47" s="244"/>
      <x:c r="G47" s="244"/>
      <x:c r="H47" s="244"/>
      <x:c r="I47" s="244"/>
      <x:c r="J47" s="244"/>
      <x:c r="K47" s="244"/>
      <x:c r="L47" s="244"/>
      <x:c r="M47" s="244"/>
      <x:c r="N47" s="244"/>
      <x:c r="O47" s="244"/>
      <x:c r="P47" s="244"/>
      <x:c r="Q47" s="244"/>
      <x:c r="R47" s="244"/>
      <x:c r="S47" s="244"/>
      <x:c r="T47" s="244"/>
      <x:c r="U47" s="261"/>
    </x:row>
    <x:row r="48">
      <x:c r="A48" s="3"/>
      <x:c r="B48" s="262"/>
      <x:c r="C48" s="244"/>
      <x:c r="D48" s="244"/>
      <x:c r="E48" s="244"/>
      <x:c r="F48" s="244"/>
      <x:c r="G48" s="244"/>
      <x:c r="H48" s="244"/>
      <x:c r="I48" s="244"/>
      <x:c r="J48" s="244"/>
      <x:c r="K48" s="244"/>
      <x:c r="L48" s="244"/>
      <x:c r="M48" s="244"/>
      <x:c r="N48" s="244"/>
      <x:c r="O48" s="244"/>
      <x:c r="P48" s="244"/>
      <x:c r="Q48" s="244"/>
      <x:c r="R48" s="244"/>
      <x:c r="S48" s="244"/>
      <x:c r="T48" s="244"/>
      <x:c r="U48" s="261"/>
    </x:row>
    <x:row r="49">
      <x:c r="A49" s="3"/>
      <x:c r="B49" s="262"/>
      <x:c r="C49" s="244"/>
      <x:c r="D49" s="244"/>
      <x:c r="E49" s="244"/>
      <x:c r="F49" s="244"/>
      <x:c r="G49" s="244"/>
      <x:c r="H49" s="244"/>
      <x:c r="I49" s="244"/>
      <x:c r="J49" s="244"/>
      <x:c r="K49" s="244"/>
      <x:c r="L49" s="244"/>
      <x:c r="M49" s="244"/>
      <x:c r="N49" s="244"/>
      <x:c r="O49" s="244"/>
      <x:c r="P49" s="244"/>
      <x:c r="Q49" s="244"/>
      <x:c r="R49" s="244"/>
      <x:c r="S49" s="244"/>
      <x:c r="T49" s="244"/>
      <x:c r="U49" s="261"/>
    </x:row>
    <x:row r="50">
      <x:c r="A50" s="3"/>
      <x:c r="B50" s="262"/>
      <x:c r="C50" s="244"/>
      <x:c r="D50" s="244"/>
      <x:c r="E50" s="244"/>
      <x:c r="F50" s="244"/>
      <x:c r="G50" s="244"/>
      <x:c r="H50" s="244"/>
      <x:c r="I50" s="244"/>
      <x:c r="J50" s="244"/>
      <x:c r="K50" s="244"/>
      <x:c r="L50" s="244"/>
      <x:c r="M50" s="244"/>
      <x:c r="N50" s="244"/>
      <x:c r="O50" s="244"/>
      <x:c r="P50" s="244"/>
      <x:c r="Q50" s="244"/>
      <x:c r="R50" s="244"/>
      <x:c r="S50" s="244"/>
      <x:c r="T50" s="244"/>
      <x:c r="U50" s="261"/>
    </x:row>
    <x:row r="51">
      <x:c r="A51" s="3"/>
      <x:c r="B51" s="262"/>
      <x:c r="C51" s="244"/>
      <x:c r="D51" s="244"/>
      <x:c r="E51" s="244"/>
      <x:c r="F51" s="244"/>
      <x:c r="G51" s="244"/>
      <x:c r="H51" s="244"/>
      <x:c r="I51" s="244"/>
      <x:c r="J51" s="244"/>
      <x:c r="K51" s="244"/>
      <x:c r="L51" s="244"/>
      <x:c r="M51" s="244"/>
      <x:c r="N51" s="244"/>
      <x:c r="O51" s="244"/>
      <x:c r="P51" s="244"/>
      <x:c r="Q51" s="244"/>
      <x:c r="R51" s="244"/>
      <x:c r="S51" s="244"/>
      <x:c r="T51" s="244"/>
      <x:c r="U51" s="261"/>
    </x:row>
    <x:row r="52">
      <x:c r="A52" s="3"/>
      <x:c r="B52" s="262"/>
      <x:c r="C52" s="244"/>
      <x:c r="D52" s="244"/>
      <x:c r="E52" s="244"/>
      <x:c r="F52" s="244"/>
      <x:c r="G52" s="244"/>
      <x:c r="H52" s="244"/>
      <x:c r="I52" s="244"/>
      <x:c r="J52" s="244"/>
      <x:c r="K52" s="244"/>
      <x:c r="L52" s="244"/>
      <x:c r="M52" s="244"/>
      <x:c r="N52" s="244"/>
      <x:c r="O52" s="244"/>
      <x:c r="P52" s="244"/>
      <x:c r="Q52" s="244"/>
      <x:c r="R52" s="244"/>
      <x:c r="S52" s="244"/>
      <x:c r="T52" s="244"/>
      <x:c r="U52" s="261"/>
    </x:row>
    <x:row r="53">
      <x:c r="A53" s="3"/>
      <x:c r="B53" s="262"/>
      <x:c r="C53" s="244"/>
      <x:c r="D53" s="244"/>
      <x:c r="E53" s="244"/>
      <x:c r="F53" s="244"/>
      <x:c r="G53" s="244"/>
      <x:c r="H53" s="244"/>
      <x:c r="I53" s="244"/>
      <x:c r="J53" s="244"/>
      <x:c r="K53" s="244"/>
      <x:c r="L53" s="244"/>
      <x:c r="M53" s="244"/>
      <x:c r="N53" s="244"/>
      <x:c r="O53" s="244"/>
      <x:c r="P53" s="244"/>
      <x:c r="Q53" s="244"/>
      <x:c r="R53" s="244"/>
      <x:c r="S53" s="244"/>
      <x:c r="T53" s="244"/>
      <x:c r="U53" s="261"/>
    </x:row>
    <x:row r="54">
      <x:c r="A54" s="3"/>
      <x:c r="B54" s="262"/>
      <x:c r="C54" s="244"/>
      <x:c r="D54" s="244"/>
      <x:c r="E54" s="244"/>
      <x:c r="F54" s="244"/>
      <x:c r="G54" s="244"/>
      <x:c r="H54" s="244"/>
      <x:c r="I54" s="244"/>
      <x:c r="J54" s="244"/>
      <x:c r="K54" s="244"/>
      <x:c r="L54" s="244"/>
      <x:c r="M54" s="244"/>
      <x:c r="N54" s="244"/>
      <x:c r="O54" s="244"/>
      <x:c r="P54" s="244"/>
      <x:c r="Q54" s="244"/>
      <x:c r="R54" s="244"/>
      <x:c r="S54" s="244"/>
      <x:c r="T54" s="244"/>
      <x:c r="U54" s="261"/>
    </x:row>
    <x:row r="55">
      <x:c r="A55" s="3"/>
      <x:c r="B55" s="262"/>
      <x:c r="C55" s="244"/>
      <x:c r="D55" s="244"/>
      <x:c r="E55" s="244"/>
      <x:c r="F55" s="244"/>
      <x:c r="G55" s="244"/>
      <x:c r="H55" s="244"/>
      <x:c r="I55" s="244"/>
      <x:c r="J55" s="244"/>
      <x:c r="K55" s="244"/>
      <x:c r="L55" s="244"/>
      <x:c r="M55" s="244"/>
      <x:c r="N55" s="244"/>
      <x:c r="O55" s="244"/>
      <x:c r="P55" s="244"/>
      <x:c r="Q55" s="244"/>
      <x:c r="R55" s="244"/>
      <x:c r="S55" s="244"/>
      <x:c r="T55" s="244"/>
      <x:c r="U55" s="261"/>
    </x:row>
    <x:row r="56">
      <x:c r="A56" s="3"/>
      <x:c r="B56" s="262"/>
      <x:c r="C56" s="244"/>
      <x:c r="D56" s="244"/>
      <x:c r="E56" s="244"/>
      <x:c r="F56" s="244"/>
      <x:c r="G56" s="244"/>
      <x:c r="H56" s="244"/>
      <x:c r="I56" s="244"/>
      <x:c r="J56" s="244"/>
      <x:c r="K56" s="244"/>
      <x:c r="L56" s="244"/>
      <x:c r="M56" s="244"/>
      <x:c r="N56" s="244"/>
      <x:c r="O56" s="244"/>
      <x:c r="P56" s="244"/>
      <x:c r="Q56" s="244"/>
      <x:c r="R56" s="244"/>
      <x:c r="S56" s="244"/>
      <x:c r="T56" s="244"/>
      <x:c r="U56" s="261"/>
    </x:row>
    <x:row r="57">
      <x:c r="A57" s="3"/>
      <x:c r="B57" s="262"/>
      <x:c r="C57" s="244"/>
      <x:c r="D57" s="244"/>
      <x:c r="E57" s="244"/>
      <x:c r="F57" s="244"/>
      <x:c r="G57" s="244"/>
      <x:c r="H57" s="244"/>
      <x:c r="I57" s="244"/>
      <x:c r="J57" s="244"/>
      <x:c r="K57" s="244"/>
      <x:c r="L57" s="244"/>
      <x:c r="M57" s="244"/>
      <x:c r="N57" s="244"/>
      <x:c r="O57" s="244"/>
      <x:c r="P57" s="244"/>
      <x:c r="Q57" s="244"/>
      <x:c r="R57" s="244"/>
      <x:c r="S57" s="244"/>
      <x:c r="T57" s="244"/>
      <x:c r="U57" s="261"/>
    </x:row>
    <x:row r="58">
      <x:c r="A58" s="3"/>
      <x:c r="B58" s="262"/>
      <x:c r="C58" s="244"/>
      <x:c r="D58" s="244"/>
      <x:c r="E58" s="244"/>
      <x:c r="F58" s="244"/>
      <x:c r="G58" s="244"/>
      <x:c r="H58" s="244"/>
      <x:c r="I58" s="244"/>
      <x:c r="J58" s="244"/>
      <x:c r="K58" s="244"/>
      <x:c r="L58" s="244"/>
      <x:c r="M58" s="244"/>
      <x:c r="N58" s="244"/>
      <x:c r="O58" s="244"/>
      <x:c r="P58" s="244"/>
      <x:c r="Q58" s="244"/>
      <x:c r="R58" s="244"/>
      <x:c r="S58" s="244"/>
      <x:c r="T58" s="244"/>
      <x:c r="U58" s="261"/>
    </x:row>
    <x:row r="59">
      <x:c r="A59" s="3"/>
      <x:c r="B59" s="262"/>
      <x:c r="C59" s="244"/>
      <x:c r="D59" s="244"/>
      <x:c r="E59" s="244"/>
      <x:c r="F59" s="244"/>
      <x:c r="G59" s="244"/>
      <x:c r="H59" s="244"/>
      <x:c r="I59" s="244"/>
      <x:c r="J59" s="244"/>
      <x:c r="K59" s="244"/>
      <x:c r="L59" s="244"/>
      <x:c r="M59" s="244"/>
      <x:c r="N59" s="244"/>
      <x:c r="O59" s="244"/>
      <x:c r="P59" s="244"/>
      <x:c r="Q59" s="244"/>
      <x:c r="R59" s="244"/>
      <x:c r="S59" s="244"/>
      <x:c r="T59" s="244"/>
      <x:c r="U59" s="261"/>
    </x:row>
    <x:row r="60">
      <x:c r="A60" s="3"/>
      <x:c r="B60" s="262"/>
      <x:c r="C60" s="244"/>
      <x:c r="D60" s="244"/>
      <x:c r="E60" s="244"/>
      <x:c r="F60" s="244"/>
      <x:c r="G60" s="244"/>
      <x:c r="H60" s="244"/>
      <x:c r="I60" s="244"/>
      <x:c r="J60" s="244"/>
      <x:c r="K60" s="244"/>
      <x:c r="L60" s="244"/>
      <x:c r="M60" s="244"/>
      <x:c r="N60" s="244"/>
      <x:c r="O60" s="244"/>
      <x:c r="P60" s="244"/>
      <x:c r="Q60" s="244"/>
      <x:c r="R60" s="244"/>
      <x:c r="S60" s="244"/>
      <x:c r="T60" s="244"/>
      <x:c r="U60" s="261"/>
    </x:row>
    <x:row r="61">
      <x:c r="A61" s="3"/>
      <x:c r="B61" s="262"/>
      <x:c r="C61" s="244"/>
      <x:c r="D61" s="244"/>
      <x:c r="E61" s="244"/>
      <x:c r="F61" s="244"/>
      <x:c r="G61" s="244"/>
      <x:c r="H61" s="244"/>
      <x:c r="I61" s="244"/>
      <x:c r="J61" s="244"/>
      <x:c r="K61" s="244"/>
      <x:c r="L61" s="244"/>
      <x:c r="M61" s="244"/>
      <x:c r="N61" s="244"/>
      <x:c r="O61" s="244"/>
      <x:c r="P61" s="244"/>
      <x:c r="Q61" s="244"/>
      <x:c r="R61" s="244"/>
      <x:c r="S61" s="244"/>
      <x:c r="T61" s="244"/>
      <x:c r="U61" s="261"/>
    </x:row>
    <x:row r="62">
      <x:c r="A62" s="3"/>
      <x:c r="B62" s="262"/>
      <x:c r="C62" s="244"/>
      <x:c r="D62" s="244"/>
      <x:c r="E62" s="244"/>
      <x:c r="F62" s="244"/>
      <x:c r="G62" s="244"/>
      <x:c r="H62" s="244"/>
      <x:c r="I62" s="244"/>
      <x:c r="J62" s="244"/>
      <x:c r="K62" s="244"/>
      <x:c r="L62" s="244"/>
      <x:c r="M62" s="244"/>
      <x:c r="N62" s="244"/>
      <x:c r="O62" s="244"/>
      <x:c r="P62" s="244"/>
      <x:c r="Q62" s="244"/>
      <x:c r="R62" s="244"/>
      <x:c r="S62" s="244"/>
      <x:c r="T62" s="244"/>
      <x:c r="U62" s="261"/>
    </x:row>
    <x:row r="63">
      <x:c r="A63" s="3"/>
      <x:c r="B63" s="262"/>
      <x:c r="C63" s="244"/>
      <x:c r="D63" s="244"/>
      <x:c r="E63" s="244"/>
      <x:c r="F63" s="244"/>
      <x:c r="G63" s="244"/>
      <x:c r="H63" s="244"/>
      <x:c r="I63" s="244"/>
      <x:c r="J63" s="244"/>
      <x:c r="K63" s="244"/>
      <x:c r="L63" s="244"/>
      <x:c r="M63" s="244"/>
      <x:c r="N63" s="244"/>
      <x:c r="O63" s="244"/>
      <x:c r="P63" s="244"/>
      <x:c r="Q63" s="244"/>
      <x:c r="R63" s="244"/>
      <x:c r="S63" s="244"/>
      <x:c r="T63" s="244"/>
      <x:c r="U63" s="261"/>
    </x:row>
    <x:row r="64">
      <x:c r="A64" s="3"/>
      <x:c r="B64" s="262"/>
      <x:c r="C64" s="244"/>
      <x:c r="D64" s="244"/>
      <x:c r="E64" s="244"/>
      <x:c r="F64" s="244"/>
      <x:c r="G64" s="244"/>
      <x:c r="H64" s="244"/>
      <x:c r="I64" s="244"/>
      <x:c r="J64" s="244"/>
      <x:c r="K64" s="244"/>
      <x:c r="L64" s="244"/>
      <x:c r="M64" s="244"/>
      <x:c r="N64" s="244"/>
      <x:c r="O64" s="244"/>
      <x:c r="P64" s="244"/>
      <x:c r="Q64" s="244"/>
      <x:c r="R64" s="244"/>
      <x:c r="S64" s="244"/>
      <x:c r="T64" s="244"/>
      <x:c r="U64" s="261"/>
    </x:row>
    <x:row r="65">
      <x:c r="A65" s="3"/>
      <x:c r="B65" s="262"/>
      <x:c r="C65" s="244"/>
      <x:c r="D65" s="244"/>
      <x:c r="E65" s="244"/>
      <x:c r="F65" s="244"/>
      <x:c r="G65" s="244"/>
      <x:c r="H65" s="244"/>
      <x:c r="I65" s="244"/>
      <x:c r="J65" s="244"/>
      <x:c r="K65" s="244"/>
      <x:c r="L65" s="244"/>
      <x:c r="M65" s="244"/>
      <x:c r="N65" s="244"/>
      <x:c r="O65" s="244"/>
      <x:c r="P65" s="244"/>
      <x:c r="Q65" s="244"/>
      <x:c r="R65" s="244"/>
      <x:c r="S65" s="244"/>
      <x:c r="T65" s="244"/>
      <x:c r="U65" s="261"/>
    </x:row>
    <x:row r="66">
      <x:c r="A66" s="3"/>
      <x:c r="B66" s="262"/>
      <x:c r="C66" s="244"/>
      <x:c r="D66" s="244"/>
      <x:c r="E66" s="244"/>
      <x:c r="F66" s="244"/>
      <x:c r="G66" s="244"/>
      <x:c r="H66" s="244"/>
      <x:c r="I66" s="244"/>
      <x:c r="J66" s="244"/>
      <x:c r="K66" s="244"/>
      <x:c r="L66" s="244"/>
      <x:c r="M66" s="244"/>
      <x:c r="N66" s="244"/>
      <x:c r="O66" s="244"/>
      <x:c r="P66" s="244"/>
      <x:c r="Q66" s="244"/>
      <x:c r="R66" s="244"/>
      <x:c r="S66" s="244"/>
      <x:c r="T66" s="244"/>
      <x:c r="U66" s="261"/>
    </x:row>
    <x:row r="67">
      <x:c r="A67" s="3"/>
      <x:c r="B67" s="262"/>
      <x:c r="C67" s="244"/>
      <x:c r="D67" s="244"/>
      <x:c r="E67" s="244"/>
      <x:c r="F67" s="244"/>
      <x:c r="G67" s="244"/>
      <x:c r="H67" s="244"/>
      <x:c r="I67" s="244"/>
      <x:c r="J67" s="244"/>
      <x:c r="K67" s="244"/>
      <x:c r="L67" s="244"/>
      <x:c r="M67" s="244"/>
      <x:c r="N67" s="244"/>
      <x:c r="O67" s="244"/>
      <x:c r="P67" s="244"/>
      <x:c r="Q67" s="244"/>
      <x:c r="R67" s="244"/>
      <x:c r="S67" s="244"/>
      <x:c r="T67" s="244"/>
      <x:c r="U67" s="261"/>
    </x:row>
    <x:row r="68">
      <x:c r="A68" s="3"/>
      <x:c r="B68" s="262"/>
      <x:c r="C68" s="244"/>
      <x:c r="D68" s="244"/>
      <x:c r="E68" s="244"/>
      <x:c r="F68" s="244"/>
      <x:c r="G68" s="244"/>
      <x:c r="H68" s="244"/>
      <x:c r="I68" s="244"/>
      <x:c r="J68" s="244"/>
      <x:c r="K68" s="244"/>
      <x:c r="L68" s="244"/>
      <x:c r="M68" s="244"/>
      <x:c r="N68" s="244"/>
      <x:c r="O68" s="244"/>
      <x:c r="P68" s="244"/>
      <x:c r="Q68" s="244"/>
      <x:c r="R68" s="244"/>
      <x:c r="S68" s="244"/>
      <x:c r="T68" s="244"/>
      <x:c r="U68" s="261"/>
    </x:row>
    <x:row r="69">
      <x:c r="A69" s="3"/>
      <x:c r="B69" s="262"/>
      <x:c r="C69" s="244"/>
      <x:c r="D69" s="244"/>
      <x:c r="E69" s="244"/>
      <x:c r="F69" s="244"/>
      <x:c r="G69" s="244"/>
      <x:c r="H69" s="244"/>
      <x:c r="I69" s="244"/>
      <x:c r="J69" s="244"/>
      <x:c r="K69" s="244"/>
      <x:c r="L69" s="244"/>
      <x:c r="M69" s="244"/>
      <x:c r="N69" s="244"/>
      <x:c r="O69" s="244"/>
      <x:c r="P69" s="244"/>
      <x:c r="Q69" s="244"/>
      <x:c r="R69" s="244"/>
      <x:c r="S69" s="244"/>
      <x:c r="T69" s="244"/>
      <x:c r="U69" s="261"/>
    </x:row>
    <x:row r="70">
      <x:c r="A70" s="3"/>
      <x:c r="B70" s="262"/>
      <x:c r="C70" s="244"/>
      <x:c r="D70" s="244"/>
      <x:c r="E70" s="244"/>
      <x:c r="F70" s="244"/>
      <x:c r="G70" s="244"/>
      <x:c r="H70" s="244"/>
      <x:c r="I70" s="244"/>
      <x:c r="J70" s="244"/>
      <x:c r="K70" s="244"/>
      <x:c r="L70" s="244"/>
      <x:c r="M70" s="244"/>
      <x:c r="N70" s="244"/>
      <x:c r="O70" s="244"/>
      <x:c r="P70" s="244"/>
      <x:c r="Q70" s="244"/>
      <x:c r="R70" s="244"/>
      <x:c r="S70" s="244"/>
      <x:c r="T70" s="244"/>
      <x:c r="U70" s="261"/>
    </x:row>
    <x:row r="71">
      <x:c r="A71" s="3"/>
      <x:c r="B71" s="262"/>
      <x:c r="C71" s="244"/>
      <x:c r="D71" s="244"/>
      <x:c r="E71" s="244"/>
      <x:c r="F71" s="244"/>
      <x:c r="G71" s="244"/>
      <x:c r="H71" s="244"/>
      <x:c r="I71" s="244"/>
      <x:c r="J71" s="244"/>
      <x:c r="K71" s="244"/>
      <x:c r="L71" s="244"/>
      <x:c r="M71" s="244"/>
      <x:c r="N71" s="244"/>
      <x:c r="O71" s="244"/>
      <x:c r="P71" s="244"/>
      <x:c r="Q71" s="244"/>
      <x:c r="R71" s="244"/>
      <x:c r="S71" s="244"/>
      <x:c r="T71" s="244"/>
      <x:c r="U71" s="261"/>
    </x:row>
    <x:row r="72">
      <x:c r="A72" s="3"/>
      <x:c r="B72" s="262"/>
      <x:c r="C72" s="244"/>
      <x:c r="D72" s="244"/>
      <x:c r="E72" s="244"/>
      <x:c r="F72" s="244"/>
      <x:c r="G72" s="244"/>
      <x:c r="H72" s="244"/>
      <x:c r="I72" s="244"/>
      <x:c r="J72" s="244"/>
      <x:c r="K72" s="244"/>
      <x:c r="L72" s="244"/>
      <x:c r="M72" s="244"/>
      <x:c r="N72" s="244"/>
      <x:c r="O72" s="244"/>
      <x:c r="P72" s="244"/>
      <x:c r="Q72" s="244"/>
      <x:c r="R72" s="244"/>
      <x:c r="S72" s="244"/>
      <x:c r="T72" s="244"/>
      <x:c r="U72" s="261"/>
    </x:row>
    <x:row r="73">
      <x:c r="A73" s="3"/>
      <x:c r="B73" s="262"/>
      <x:c r="C73" s="244"/>
      <x:c r="D73" s="244"/>
      <x:c r="E73" s="244"/>
      <x:c r="F73" s="244"/>
      <x:c r="G73" s="244"/>
      <x:c r="H73" s="244"/>
      <x:c r="I73" s="244"/>
      <x:c r="J73" s="244"/>
      <x:c r="K73" s="244"/>
      <x:c r="L73" s="244"/>
      <x:c r="M73" s="244"/>
      <x:c r="N73" s="244"/>
      <x:c r="O73" s="244"/>
      <x:c r="P73" s="244"/>
      <x:c r="Q73" s="244"/>
      <x:c r="R73" s="244"/>
      <x:c r="S73" s="244"/>
      <x:c r="T73" s="244"/>
      <x:c r="U73" s="261"/>
    </x:row>
    <x:row r="74">
      <x:c r="A74" s="3"/>
      <x:c r="B74" s="262"/>
      <x:c r="C74" s="244"/>
      <x:c r="D74" s="244"/>
      <x:c r="E74" s="244"/>
      <x:c r="F74" s="244"/>
      <x:c r="G74" s="244"/>
      <x:c r="H74" s="244"/>
      <x:c r="I74" s="244"/>
      <x:c r="J74" s="244"/>
      <x:c r="K74" s="244"/>
      <x:c r="L74" s="244"/>
      <x:c r="M74" s="244"/>
      <x:c r="N74" s="244"/>
      <x:c r="O74" s="244"/>
      <x:c r="P74" s="244"/>
      <x:c r="Q74" s="244"/>
      <x:c r="R74" s="244"/>
      <x:c r="S74" s="244"/>
      <x:c r="T74" s="244"/>
      <x:c r="U74" s="261"/>
    </x:row>
    <x:row r="75">
      <x:c r="A75" s="3"/>
      <x:c r="B75" s="262"/>
      <x:c r="C75" s="244"/>
      <x:c r="D75" s="244"/>
      <x:c r="E75" s="244"/>
      <x:c r="F75" s="244"/>
      <x:c r="G75" s="244"/>
      <x:c r="H75" s="244"/>
      <x:c r="I75" s="244"/>
      <x:c r="J75" s="244"/>
      <x:c r="K75" s="244"/>
      <x:c r="L75" s="244"/>
      <x:c r="M75" s="244"/>
      <x:c r="N75" s="244"/>
      <x:c r="O75" s="244"/>
      <x:c r="P75" s="244"/>
      <x:c r="Q75" s="244"/>
      <x:c r="R75" s="244"/>
      <x:c r="S75" s="244"/>
      <x:c r="T75" s="244"/>
      <x:c r="U75" s="261"/>
    </x:row>
    <x:row r="76">
      <x:c r="A76" s="3"/>
      <x:c r="B76" s="262"/>
      <x:c r="C76" s="244"/>
      <x:c r="D76" s="244"/>
      <x:c r="E76" s="244"/>
      <x:c r="F76" s="244"/>
      <x:c r="G76" s="244"/>
      <x:c r="H76" s="244"/>
      <x:c r="I76" s="244"/>
      <x:c r="J76" s="244"/>
      <x:c r="K76" s="244"/>
      <x:c r="L76" s="244"/>
      <x:c r="M76" s="244"/>
      <x:c r="N76" s="244"/>
      <x:c r="O76" s="244"/>
      <x:c r="P76" s="244"/>
      <x:c r="Q76" s="244"/>
      <x:c r="R76" s="244"/>
      <x:c r="S76" s="244"/>
      <x:c r="T76" s="244"/>
      <x:c r="U76" s="261"/>
    </x:row>
    <x:row r="77">
      <x:c r="A77" s="3"/>
      <x:c r="B77" s="262"/>
      <x:c r="C77" s="244"/>
      <x:c r="D77" s="244"/>
      <x:c r="E77" s="244"/>
      <x:c r="F77" s="244"/>
      <x:c r="G77" s="244"/>
      <x:c r="H77" s="244"/>
      <x:c r="I77" s="244"/>
      <x:c r="J77" s="244"/>
      <x:c r="K77" s="244"/>
      <x:c r="L77" s="244"/>
      <x:c r="M77" s="244"/>
      <x:c r="N77" s="244"/>
      <x:c r="O77" s="244"/>
      <x:c r="P77" s="244"/>
      <x:c r="Q77" s="244"/>
      <x:c r="R77" s="244"/>
      <x:c r="S77" s="244"/>
      <x:c r="T77" s="244"/>
      <x:c r="U77" s="261"/>
    </x:row>
    <x:row r="78">
      <x:c r="A78" s="3"/>
      <x:c r="B78" s="262"/>
      <x:c r="C78" s="244"/>
      <x:c r="D78" s="244"/>
      <x:c r="E78" s="244"/>
      <x:c r="F78" s="244"/>
      <x:c r="G78" s="244"/>
      <x:c r="H78" s="244"/>
      <x:c r="I78" s="244"/>
      <x:c r="J78" s="244"/>
      <x:c r="K78" s="244"/>
      <x:c r="L78" s="244"/>
      <x:c r="M78" s="244"/>
      <x:c r="N78" s="244"/>
      <x:c r="O78" s="244"/>
      <x:c r="P78" s="244"/>
      <x:c r="Q78" s="244"/>
      <x:c r="R78" s="244"/>
      <x:c r="S78" s="244"/>
      <x:c r="T78" s="244"/>
      <x:c r="U78" s="261"/>
    </x:row>
    <x:row r="79">
      <x:c r="A79" s="3"/>
      <x:c r="B79" s="262"/>
      <x:c r="C79" s="244"/>
      <x:c r="D79" s="244"/>
      <x:c r="E79" s="244"/>
      <x:c r="F79" s="244"/>
      <x:c r="G79" s="244"/>
      <x:c r="H79" s="244"/>
      <x:c r="I79" s="244"/>
      <x:c r="J79" s="244"/>
      <x:c r="K79" s="244"/>
      <x:c r="L79" s="244"/>
      <x:c r="M79" s="244"/>
      <x:c r="N79" s="244"/>
      <x:c r="O79" s="244"/>
      <x:c r="P79" s="244"/>
      <x:c r="Q79" s="244"/>
      <x:c r="R79" s="244"/>
      <x:c r="S79" s="244"/>
      <x:c r="T79" s="244"/>
      <x:c r="U79" s="261"/>
    </x:row>
    <x:row r="80">
      <x:c r="A80" s="3"/>
      <x:c r="B80" s="262"/>
      <x:c r="C80" s="244"/>
      <x:c r="D80" s="244"/>
      <x:c r="E80" s="244"/>
      <x:c r="F80" s="244"/>
      <x:c r="G80" s="244"/>
      <x:c r="H80" s="244"/>
      <x:c r="I80" s="244"/>
      <x:c r="J80" s="244"/>
      <x:c r="K80" s="244"/>
      <x:c r="L80" s="244"/>
      <x:c r="M80" s="244"/>
      <x:c r="N80" s="244"/>
      <x:c r="O80" s="244"/>
      <x:c r="P80" s="244"/>
      <x:c r="Q80" s="244"/>
      <x:c r="R80" s="244"/>
      <x:c r="S80" s="244"/>
      <x:c r="T80" s="244"/>
      <x:c r="U80" s="261"/>
    </x:row>
    <x:row r="81">
      <x:c r="A81" s="3"/>
      <x:c r="B81" s="262"/>
      <x:c r="C81" s="244"/>
      <x:c r="D81" s="244"/>
      <x:c r="E81" s="244"/>
      <x:c r="F81" s="244"/>
      <x:c r="G81" s="244"/>
      <x:c r="H81" s="244"/>
      <x:c r="I81" s="244"/>
      <x:c r="J81" s="244"/>
      <x:c r="K81" s="244"/>
      <x:c r="L81" s="244"/>
      <x:c r="M81" s="244"/>
      <x:c r="N81" s="244"/>
      <x:c r="O81" s="244"/>
      <x:c r="P81" s="244"/>
      <x:c r="Q81" s="244"/>
      <x:c r="R81" s="244"/>
      <x:c r="S81" s="244"/>
      <x:c r="T81" s="244"/>
      <x:c r="U81" s="261"/>
    </x:row>
    <x:row r="82">
      <x:c r="A82" s="3"/>
      <x:c r="B82" s="262"/>
      <x:c r="C82" s="244"/>
      <x:c r="D82" s="244"/>
      <x:c r="E82" s="244"/>
      <x:c r="F82" s="244"/>
      <x:c r="G82" s="244"/>
      <x:c r="H82" s="244"/>
      <x:c r="I82" s="244"/>
      <x:c r="J82" s="244"/>
      <x:c r="K82" s="244"/>
      <x:c r="L82" s="244"/>
      <x:c r="M82" s="244"/>
      <x:c r="N82" s="244"/>
      <x:c r="O82" s="244"/>
      <x:c r="P82" s="244"/>
      <x:c r="Q82" s="244"/>
      <x:c r="R82" s="244"/>
      <x:c r="S82" s="244"/>
      <x:c r="T82" s="244"/>
      <x:c r="U82" s="261"/>
    </x:row>
    <x:row r="83">
      <x:c r="A83" s="3"/>
      <x:c r="B83" s="262"/>
      <x:c r="C83" s="244"/>
      <x:c r="D83" s="244"/>
      <x:c r="E83" s="244"/>
      <x:c r="F83" s="244"/>
      <x:c r="G83" s="244"/>
      <x:c r="H83" s="244"/>
      <x:c r="I83" s="244"/>
      <x:c r="J83" s="244"/>
      <x:c r="K83" s="244"/>
      <x:c r="L83" s="244"/>
      <x:c r="M83" s="244"/>
      <x:c r="N83" s="244"/>
      <x:c r="O83" s="244"/>
      <x:c r="P83" s="244"/>
      <x:c r="Q83" s="244"/>
      <x:c r="R83" s="244"/>
      <x:c r="S83" s="244"/>
      <x:c r="T83" s="244"/>
      <x:c r="U83" s="261"/>
    </x:row>
    <x:row r="84">
      <x:c r="A84" s="3"/>
      <x:c r="B84" s="262"/>
      <x:c r="C84" s="244"/>
      <x:c r="D84" s="244"/>
      <x:c r="E84" s="244"/>
      <x:c r="F84" s="244"/>
      <x:c r="G84" s="244"/>
      <x:c r="H84" s="244"/>
      <x:c r="I84" s="244"/>
      <x:c r="J84" s="244"/>
      <x:c r="K84" s="244"/>
      <x:c r="L84" s="244"/>
      <x:c r="M84" s="244"/>
      <x:c r="N84" s="244"/>
      <x:c r="O84" s="244"/>
      <x:c r="P84" s="244"/>
      <x:c r="Q84" s="244"/>
      <x:c r="R84" s="244"/>
      <x:c r="S84" s="244"/>
      <x:c r="T84" s="244"/>
      <x:c r="U84" s="261"/>
    </x:row>
    <x:row r="85">
      <x:c r="A85" s="3"/>
      <x:c r="B85" s="262"/>
      <x:c r="C85" s="244"/>
      <x:c r="D85" s="244"/>
      <x:c r="E85" s="244"/>
      <x:c r="F85" s="244"/>
      <x:c r="G85" s="244"/>
      <x:c r="H85" s="244"/>
      <x:c r="I85" s="244"/>
      <x:c r="J85" s="244"/>
      <x:c r="K85" s="244"/>
      <x:c r="L85" s="244"/>
      <x:c r="M85" s="244"/>
      <x:c r="N85" s="244"/>
      <x:c r="O85" s="244"/>
      <x:c r="P85" s="244"/>
      <x:c r="Q85" s="244"/>
      <x:c r="R85" s="244"/>
      <x:c r="S85" s="244"/>
      <x:c r="T85" s="244"/>
      <x:c r="U85" s="261"/>
    </x:row>
    <x:row r="86">
      <x:c r="A86" s="3"/>
      <x:c r="B86" s="262"/>
      <x:c r="C86" s="244"/>
      <x:c r="D86" s="244"/>
      <x:c r="E86" s="244"/>
      <x:c r="F86" s="244"/>
      <x:c r="G86" s="244"/>
      <x:c r="H86" s="244"/>
      <x:c r="I86" s="244"/>
      <x:c r="J86" s="244"/>
      <x:c r="K86" s="244"/>
      <x:c r="L86" s="244"/>
      <x:c r="M86" s="244"/>
      <x:c r="N86" s="244"/>
      <x:c r="O86" s="244"/>
      <x:c r="P86" s="244"/>
      <x:c r="Q86" s="244"/>
      <x:c r="R86" s="244"/>
      <x:c r="S86" s="244"/>
      <x:c r="T86" s="244"/>
      <x:c r="U86" s="261"/>
    </x:row>
    <x:row r="87">
      <x:c r="A87" s="3"/>
      <x:c r="B87" s="262"/>
      <x:c r="C87" s="244"/>
      <x:c r="D87" s="244"/>
      <x:c r="E87" s="244"/>
      <x:c r="F87" s="244"/>
      <x:c r="G87" s="244"/>
      <x:c r="H87" s="244"/>
      <x:c r="I87" s="244"/>
      <x:c r="J87" s="244"/>
      <x:c r="K87" s="244"/>
      <x:c r="L87" s="244"/>
      <x:c r="M87" s="244"/>
      <x:c r="N87" s="244"/>
      <x:c r="O87" s="244"/>
      <x:c r="P87" s="244"/>
      <x:c r="Q87" s="244"/>
      <x:c r="R87" s="244"/>
      <x:c r="S87" s="244"/>
      <x:c r="T87" s="244"/>
      <x:c r="U87" s="261"/>
    </x:row>
    <x:row r="88">
      <x:c r="A88" s="3"/>
      <x:c r="B88" s="262"/>
      <x:c r="C88" s="244"/>
      <x:c r="D88" s="244"/>
      <x:c r="E88" s="244"/>
      <x:c r="F88" s="244"/>
      <x:c r="G88" s="244"/>
      <x:c r="H88" s="244"/>
      <x:c r="I88" s="244"/>
      <x:c r="J88" s="244"/>
      <x:c r="K88" s="244"/>
      <x:c r="L88" s="244"/>
      <x:c r="M88" s="244"/>
      <x:c r="N88" s="244"/>
      <x:c r="O88" s="244"/>
      <x:c r="P88" s="244"/>
      <x:c r="Q88" s="244"/>
      <x:c r="R88" s="244"/>
      <x:c r="S88" s="244"/>
      <x:c r="T88" s="244"/>
      <x:c r="U88" s="261"/>
    </x:row>
    <x:row r="89">
      <x:c r="A89" s="3"/>
      <x:c r="B89" s="262"/>
      <x:c r="C89" s="244"/>
      <x:c r="D89" s="244"/>
      <x:c r="E89" s="244"/>
      <x:c r="F89" s="244"/>
      <x:c r="G89" s="244"/>
      <x:c r="H89" s="244"/>
      <x:c r="I89" s="244"/>
      <x:c r="J89" s="244"/>
      <x:c r="K89" s="244"/>
      <x:c r="L89" s="244"/>
      <x:c r="M89" s="244"/>
      <x:c r="N89" s="244"/>
      <x:c r="O89" s="244"/>
      <x:c r="P89" s="244"/>
      <x:c r="Q89" s="244"/>
      <x:c r="R89" s="244"/>
      <x:c r="S89" s="244"/>
      <x:c r="T89" s="244"/>
      <x:c r="U89" s="261"/>
    </x:row>
    <x:row r="90">
      <x:c r="A90" s="3"/>
      <x:c r="B90" s="266"/>
      <x:c r="C90" s="267"/>
      <x:c r="D90" s="267"/>
      <x:c r="E90" s="267"/>
      <x:c r="F90" s="267"/>
      <x:c r="G90" s="267"/>
      <x:c r="H90" s="267"/>
      <x:c r="I90" s="267"/>
      <x:c r="J90" s="267"/>
      <x:c r="K90" s="267"/>
      <x:c r="L90" s="267"/>
      <x:c r="M90" s="267"/>
      <x:c r="N90" s="267"/>
      <x:c r="O90" s="267"/>
      <x:c r="P90" s="267"/>
      <x:c r="Q90" s="267"/>
      <x:c r="R90" s="267"/>
      <x:c r="S90" s="267"/>
      <x:c r="T90" s="267"/>
      <x:c r="U90" s="268"/>
    </x:row>
  </x:sheetData>
  <x:mergeCells>
    <x:mergeCell ref="B2:K2"/>
    <x:mergeCell ref="B3:K3"/>
    <x:mergeCell ref="B4:K4"/>
    <x:mergeCell ref="B6:I6"/>
    <x:mergeCell ref="B19:H19"/>
    <x:mergeCell ref="J6:K6"/>
    <x:mergeCell ref="J15:K15"/>
    <x:mergeCell ref="J16:K16"/>
    <x:mergeCell ref="J17:K17"/>
    <x:mergeCell ref="J18:K18"/>
    <x:mergeCell ref="J20:K20"/>
  </x:mergeCells>
  <x:conditionalFormatting sqref="E21:E33">
    <x:cfRule type="dataBar" priority="1">
      <x:dataBar>
        <x:cfvo type="min"/>
        <x:cfvo type="max"/>
        <x:color rgb="FFC96243"/>
      </x:dataBar>
      <x:extLst>
        <x:ext xmlns:x14="http://schemas.microsoft.com/office/spreadsheetml/2009/9/main" uri="{B025F937-C7B1-47D3-B67F-A62EFF666E3E}">
          <x14:id>{C24DF416-BB54-E1A6-534A-363FFD332C77}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24DF416-BB54-E1A6-534A-363FFD332C77}">
            <x14:dataBar gradient="1">
              <x14:cfvo type="min"/>
              <x14:cfvo type="max"/>
              <x14:fillColor rgb="FFC96243"/>
            </x14:dataBar>
          </x14:cfRule>
          <xm:sqref>E21:E33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2.6700000762939453" hidden="0" customWidth="1"/>
    <x:col min="2" max="2" width="20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7.780000686645508" hidden="0" customWidth="1"/>
    <x:col min="8" max="8" width="25.559999465942383" hidden="0" customWidth="1"/>
    <x:col min="9" max="9" width="18.889999389648438" hidden="0" customWidth="1"/>
    <x:col min="10" max="10" width="23.329999923706055" hidden="0" customWidth="1"/>
    <x:col min="11" max="11" width="20" hidden="0" customWidth="1"/>
    <x:col min="12" max="12" width="17.780000686645508" hidden="0" customWidth="1"/>
    <x:col min="13" max="13" width="16.670000076293945" hidden="0" customWidth="1"/>
    <x:col min="14" max="14" width="16.670000076293945" hidden="0" customWidth="1"/>
    <x:col min="15" max="15" width="16.670000076293945" hidden="0" customWidth="1"/>
    <x:col min="16" max="16" width="16.670000076293945" hidden="0" customWidth="1"/>
    <x:col min="17" max="17" width="16.670000076293945" hidden="0" customWidth="1"/>
    <x:col min="18" max="18" width="16.670000076293945" hidden="0" customWidth="1"/>
    <x:col min="19" max="19" width="16.670000076293945" hidden="0" customWidth="1"/>
    <x:col min="20" max="20" width="16.670000076293945" hidden="0" customWidth="1"/>
    <x:col min="21" max="21" width="16.670000076293945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>
      <x:c r="A2" s="3"/>
      <x:c r="B2" s="230" t="str">
        <x:v>Action Plan</x:v>
      </x:c>
      <x:c r="C2" s="231" t="str"/>
      <x:c r="D2" s="231" t="str"/>
      <x:c r="E2" s="231" t="str"/>
      <x:c r="F2" s="231" t="str"/>
      <x:c r="G2" s="231" t="str"/>
      <x:c r="H2" s="231" t="str"/>
      <x:c r="I2" s="231" t="str"/>
      <x:c r="J2" s="231" t="str"/>
      <x:c r="K2" s="232" t="str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>
      <x:c r="A3" s="3"/>
      <x:c r="B3" s="233" t="str">
        <x:v>Turn the audit into a simple next-payday plan.</x:v>
      </x:c>
      <x:c r="C3" s="6" t="str"/>
      <x:c r="D3" s="6" t="str"/>
      <x:c r="E3" s="6" t="str"/>
      <x:c r="F3" s="6" t="str"/>
      <x:c r="G3" s="6" t="str"/>
      <x:c r="H3" s="6" t="str"/>
      <x:c r="I3" s="6" t="str"/>
      <x:c r="J3" s="6" t="str"/>
      <x:c r="K3" s="234" t="str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>
      <x:c r="A4" s="3"/>
      <x:c r="B4" s="235" t="str">
        <x:v>Purpose: leave with one move, not a pile of guilt.</x:v>
      </x:c>
      <x:c r="C4" s="236" t="str"/>
      <x:c r="D4" s="236" t="str"/>
      <x:c r="E4" s="236" t="str"/>
      <x:c r="F4" s="236" t="str"/>
      <x:c r="G4" s="236" t="str"/>
      <x:c r="H4" s="236" t="str"/>
      <x:c r="I4" s="236" t="str"/>
      <x:c r="J4" s="236" t="str"/>
      <x:c r="K4" s="237" t="str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</x:row>
    <x:row r="6">
      <x:c r="A6" s="3"/>
      <x:c r="B6" s="256" t="str">
        <x:v>Your next payday plan</x:v>
      </x:c>
      <x:c r="C6" s="257" t="str">
        <x:v>Your next payday plan</x:v>
      </x:c>
      <x:c r="D6" s="257" t="str">
        <x:v>Your next payday plan</x:v>
      </x:c>
      <x:c r="E6" s="257" t="str">
        <x:v>Your next payday plan</x:v>
      </x:c>
      <x:c r="F6" s="257" t="str">
        <x:v>Your next payday plan</x:v>
      </x:c>
      <x:c r="G6" s="257" t="str">
        <x:v>Your next payday plan</x:v>
      </x:c>
      <x:c r="H6" s="257" t="str">
        <x:v>Your next payday plan</x:v>
      </x:c>
      <x:c r="I6" s="257" t="str">
        <x:v>Your next payday plan</x:v>
      </x:c>
      <x:c r="J6" s="257" t="str">
        <x:v>Your next payday plan</x:v>
      </x:c>
      <x:c r="K6" s="257" t="str">
        <x:v>Your next payday plan</x:v>
      </x:c>
      <x:c r="L6" s="258"/>
      <x:c r="M6" s="258"/>
      <x:c r="N6" s="258"/>
      <x:c r="O6" s="258"/>
      <x:c r="P6" s="258"/>
      <x:c r="Q6" s="258"/>
      <x:c r="R6" s="258"/>
      <x:c r="S6" s="258"/>
      <x:c r="T6" s="258"/>
      <x:c r="U6" s="259"/>
    </x:row>
    <x:row r="7">
      <x:c r="A7" s="3"/>
      <x:c r="B7" s="337" t="str">
        <x:v>Question</x:v>
      </x:c>
      <x:c r="C7" s="338" t="str">
        <x:v>Answer</x:v>
      </x:c>
      <x:c r="D7" s="338"/>
      <x:c r="E7" s="338"/>
      <x:c r="F7" s="338"/>
      <x:c r="G7" s="338"/>
      <x:c r="H7" s="338"/>
      <x:c r="I7" s="338"/>
      <x:c r="J7" s="338"/>
      <x:c r="K7" s="338"/>
      <x:c r="L7" s="244"/>
      <x:c r="M7" s="244"/>
      <x:c r="N7" s="244"/>
      <x:c r="O7" s="244"/>
      <x:c r="P7" s="244"/>
      <x:c r="Q7" s="244"/>
      <x:c r="R7" s="244"/>
      <x:c r="S7" s="244"/>
      <x:c r="T7" s="244"/>
      <x:c r="U7" s="261"/>
    </x:row>
    <x:row r="8">
      <x:c r="A8" s="3"/>
      <x:c r="B8" s="293" t="str">
        <x:v>What category is most over budget?</x:v>
      </x:c>
      <x:c r="C8" s="331" t="str"/>
      <x:c r="D8" s="331"/>
      <x:c r="E8" s="331"/>
      <x:c r="F8" s="331"/>
      <x:c r="G8" s="331"/>
      <x:c r="H8" s="331"/>
      <x:c r="I8" s="331"/>
      <x:c r="J8" s="331"/>
      <x:c r="K8" s="331"/>
      <x:c r="L8" s="244"/>
      <x:c r="M8" s="244"/>
      <x:c r="N8" s="244"/>
      <x:c r="O8" s="244"/>
      <x:c r="P8" s="244"/>
      <x:c r="Q8" s="244"/>
      <x:c r="R8" s="244"/>
      <x:c r="S8" s="244"/>
      <x:c r="T8" s="244"/>
      <x:c r="U8" s="261"/>
    </x:row>
    <x:row r="9">
      <x:c r="A9" s="3"/>
      <x:c r="B9" s="293" t="str">
        <x:v>What transaction caused the leak?</x:v>
      </x:c>
      <x:c r="C9" s="331" t="str"/>
      <x:c r="D9" s="331"/>
      <x:c r="E9" s="331"/>
      <x:c r="F9" s="331"/>
      <x:c r="G9" s="331"/>
      <x:c r="H9" s="331"/>
      <x:c r="I9" s="331"/>
      <x:c r="J9" s="331"/>
      <x:c r="K9" s="331"/>
      <x:c r="L9" s="244"/>
      <x:c r="M9" s="244"/>
      <x:c r="N9" s="244"/>
      <x:c r="O9" s="244"/>
      <x:c r="P9" s="244"/>
      <x:c r="Q9" s="244"/>
      <x:c r="R9" s="244"/>
      <x:c r="S9" s="244"/>
      <x:c r="T9" s="244"/>
      <x:c r="U9" s="261"/>
    </x:row>
    <x:row r="10">
      <x:c r="A10" s="3"/>
      <x:c r="B10" s="293" t="str">
        <x:v>Was it a need, timing issue, or convenience purchase?</x:v>
      </x:c>
      <x:c r="C10" s="331" t="str"/>
      <x:c r="D10" s="331"/>
      <x:c r="E10" s="331"/>
      <x:c r="F10" s="331"/>
      <x:c r="G10" s="331"/>
      <x:c r="H10" s="331"/>
      <x:c r="I10" s="331"/>
      <x:c r="J10" s="331"/>
      <x:c r="K10" s="331"/>
      <x:c r="L10" s="244"/>
      <x:c r="M10" s="244"/>
      <x:c r="N10" s="244"/>
      <x:c r="O10" s="244"/>
      <x:c r="P10" s="244"/>
      <x:c r="Q10" s="244"/>
      <x:c r="R10" s="244"/>
      <x:c r="S10" s="244"/>
      <x:c r="T10" s="244"/>
      <x:c r="U10" s="261"/>
    </x:row>
    <x:row r="11">
      <x:c r="A11" s="3"/>
      <x:c r="B11" s="293" t="str">
        <x:v>What subscription will I cut, pause, or justify?</x:v>
      </x:c>
      <x:c r="C11" s="331" t="str"/>
      <x:c r="D11" s="331"/>
      <x:c r="E11" s="331"/>
      <x:c r="F11" s="331"/>
      <x:c r="G11" s="331"/>
      <x:c r="H11" s="331"/>
      <x:c r="I11" s="331"/>
      <x:c r="J11" s="331"/>
      <x:c r="K11" s="331"/>
      <x:c r="L11" s="244"/>
      <x:c r="M11" s="244"/>
      <x:c r="N11" s="244"/>
      <x:c r="O11" s="244"/>
      <x:c r="P11" s="244"/>
      <x:c r="Q11" s="244"/>
      <x:c r="R11" s="244"/>
      <x:c r="S11" s="244"/>
      <x:c r="T11" s="244"/>
      <x:c r="U11" s="261"/>
    </x:row>
    <x:row r="12">
      <x:c r="A12" s="3"/>
      <x:c r="B12" s="293" t="str">
        <x:v>How much will I move to savings next payday?</x:v>
      </x:c>
      <x:c r="C12" s="331" t="str"/>
      <x:c r="D12" s="331"/>
      <x:c r="E12" s="331"/>
      <x:c r="F12" s="331"/>
      <x:c r="G12" s="331"/>
      <x:c r="H12" s="331"/>
      <x:c r="I12" s="331"/>
      <x:c r="J12" s="331"/>
      <x:c r="K12" s="331"/>
      <x:c r="L12" s="244"/>
      <x:c r="M12" s="244"/>
      <x:c r="N12" s="244"/>
      <x:c r="O12" s="244"/>
      <x:c r="P12" s="244"/>
      <x:c r="Q12" s="244"/>
      <x:c r="R12" s="244"/>
      <x:c r="S12" s="244"/>
      <x:c r="T12" s="244"/>
      <x:c r="U12" s="261"/>
    </x:row>
    <x:row r="13">
      <x:c r="A13" s="3"/>
      <x:c r="B13" s="293" t="str">
        <x:v>What is my true flex cash boundary?</x:v>
      </x:c>
      <x:c r="C13" s="331" t="str"/>
      <x:c r="D13" s="331"/>
      <x:c r="E13" s="331"/>
      <x:c r="F13" s="331"/>
      <x:c r="G13" s="331"/>
      <x:c r="H13" s="331"/>
      <x:c r="I13" s="331"/>
      <x:c r="J13" s="331"/>
      <x:c r="K13" s="331"/>
      <x:c r="L13" s="244"/>
      <x:c r="M13" s="244"/>
      <x:c r="N13" s="244"/>
      <x:c r="O13" s="244"/>
      <x:c r="P13" s="244"/>
      <x:c r="Q13" s="244"/>
      <x:c r="R13" s="244"/>
      <x:c r="S13" s="244"/>
      <x:c r="T13" s="244"/>
      <x:c r="U13" s="261"/>
    </x:row>
    <x:row r="14">
      <x:c r="A14" s="3"/>
      <x:c r="B14" s="293" t="str">
        <x:v>When is my next 20-minute money meeting?</x:v>
      </x:c>
      <x:c r="C14" s="331" t="str"/>
      <x:c r="D14" s="331"/>
      <x:c r="E14" s="331"/>
      <x:c r="F14" s="331"/>
      <x:c r="G14" s="331"/>
      <x:c r="H14" s="331"/>
      <x:c r="I14" s="331"/>
      <x:c r="J14" s="331"/>
      <x:c r="K14" s="331"/>
      <x:c r="L14" s="244"/>
      <x:c r="M14" s="244"/>
      <x:c r="N14" s="244"/>
      <x:c r="O14" s="244"/>
      <x:c r="P14" s="244"/>
      <x:c r="Q14" s="244"/>
      <x:c r="R14" s="244"/>
      <x:c r="S14" s="244"/>
      <x:c r="T14" s="244"/>
      <x:c r="U14" s="261"/>
    </x:row>
    <x:row r="15">
      <x:c r="A15" s="3"/>
      <x:c r="B15" s="262"/>
      <x:c r="C15" s="244"/>
      <x:c r="D15" s="244"/>
      <x:c r="E15" s="244"/>
      <x:c r="F15" s="244"/>
      <x:c r="G15" s="244"/>
      <x:c r="H15" s="244"/>
      <x:c r="I15" s="244"/>
      <x:c r="J15" s="244"/>
      <x:c r="K15" s="244"/>
      <x:c r="L15" s="244"/>
      <x:c r="M15" s="244"/>
      <x:c r="N15" s="244"/>
      <x:c r="O15" s="244"/>
      <x:c r="P15" s="244"/>
      <x:c r="Q15" s="244"/>
      <x:c r="R15" s="244"/>
      <x:c r="S15" s="244"/>
      <x:c r="T15" s="244"/>
      <x:c r="U15" s="261"/>
    </x:row>
    <x:row r="16">
      <x:c r="A16" s="3"/>
      <x:c r="B16" s="262"/>
      <x:c r="C16" s="244"/>
      <x:c r="D16" s="244"/>
      <x:c r="E16" s="244"/>
      <x:c r="F16" s="244"/>
      <x:c r="G16" s="244"/>
      <x:c r="H16" s="244"/>
      <x:c r="I16" s="244"/>
      <x:c r="J16" s="244"/>
      <x:c r="K16" s="244"/>
      <x:c r="L16" s="244"/>
      <x:c r="M16" s="244"/>
      <x:c r="N16" s="244"/>
      <x:c r="O16" s="244"/>
      <x:c r="P16" s="244"/>
      <x:c r="Q16" s="244"/>
      <x:c r="R16" s="244"/>
      <x:c r="S16" s="244"/>
      <x:c r="T16" s="244"/>
      <x:c r="U16" s="261"/>
    </x:row>
    <x:row r="17">
      <x:c r="A17" s="3"/>
      <x:c r="B17" s="263" t="str">
        <x:v>Suggested first move</x:v>
      </x:c>
      <x:c r="C17" s="248" t="str">
        <x:v>Suggested first move</x:v>
      </x:c>
      <x:c r="D17" s="248" t="str">
        <x:v>Suggested first move</x:v>
      </x:c>
      <x:c r="E17" s="248" t="str">
        <x:v>Suggested first move</x:v>
      </x:c>
      <x:c r="F17" s="248" t="str">
        <x:v>Suggested first move</x:v>
      </x:c>
      <x:c r="G17" s="248" t="str">
        <x:v>Suggested first move</x:v>
      </x:c>
      <x:c r="H17" s="248" t="str">
        <x:v>Suggested first move</x:v>
      </x:c>
      <x:c r="I17" s="248" t="str">
        <x:v>Suggested first move</x:v>
      </x:c>
      <x:c r="J17" s="248" t="str">
        <x:v>Suggested first move</x:v>
      </x:c>
      <x:c r="K17" s="248" t="str">
        <x:v>Suggested first move</x:v>
      </x:c>
      <x:c r="L17" s="244"/>
      <x:c r="M17" s="244"/>
      <x:c r="N17" s="244"/>
      <x:c r="O17" s="244"/>
      <x:c r="P17" s="244"/>
      <x:c r="Q17" s="244"/>
      <x:c r="R17" s="244"/>
      <x:c r="S17" s="244"/>
      <x:c r="T17" s="244"/>
      <x:c r="U17" s="261"/>
    </x:row>
    <x:row r="18">
      <x:c r="A18" s="3"/>
      <x:c r="B18" s="335" t="str">
        <x:f>'Paycheck Map'!K14</x:f>
        <x:v>Move $300 toward starter emergency fund</x:v>
      </x:c>
      <x:c r="C18" s="333" t="str"/>
      <x:c r="D18" s="333" t="str"/>
      <x:c r="E18" s="333" t="str"/>
      <x:c r="F18" s="333" t="str"/>
      <x:c r="G18" s="333" t="str"/>
      <x:c r="H18" s="333" t="str"/>
      <x:c r="I18" s="333" t="str"/>
      <x:c r="J18" s="333" t="str"/>
      <x:c r="K18" s="333" t="str"/>
      <x:c r="L18" s="244"/>
      <x:c r="M18" s="244"/>
      <x:c r="N18" s="244"/>
      <x:c r="O18" s="244"/>
      <x:c r="P18" s="244"/>
      <x:c r="Q18" s="244"/>
      <x:c r="R18" s="244"/>
      <x:c r="S18" s="244"/>
      <x:c r="T18" s="244"/>
      <x:c r="U18" s="261"/>
    </x:row>
    <x:row r="19">
      <x:c r="A19" s="3"/>
      <x:c r="B19" s="310" t="str">
        <x:v>Use this as your one action before the next paycheck. Small, clean moves beat ambitious plans you never open again.</x:v>
      </x:c>
      <x:c r="C19" s="250" t="str"/>
      <x:c r="D19" s="250" t="str"/>
      <x:c r="E19" s="250" t="str"/>
      <x:c r="F19" s="250" t="str"/>
      <x:c r="G19" s="250" t="str"/>
      <x:c r="H19" s="250" t="str"/>
      <x:c r="I19" s="250" t="str"/>
      <x:c r="J19" s="250" t="str"/>
      <x:c r="K19" s="250" t="str"/>
      <x:c r="L19" s="244"/>
      <x:c r="M19" s="244"/>
      <x:c r="N19" s="244"/>
      <x:c r="O19" s="244"/>
      <x:c r="P19" s="244"/>
      <x:c r="Q19" s="244"/>
      <x:c r="R19" s="244"/>
      <x:c r="S19" s="244"/>
      <x:c r="T19" s="244"/>
      <x:c r="U19" s="261"/>
    </x:row>
    <x:row r="20">
      <x:c r="A20" s="3"/>
      <x:c r="B20" s="262"/>
      <x:c r="C20" s="244"/>
      <x:c r="D20" s="244"/>
      <x:c r="E20" s="244"/>
      <x:c r="F20" s="244"/>
      <x:c r="G20" s="244"/>
      <x:c r="H20" s="244"/>
      <x:c r="I20" s="244"/>
      <x:c r="J20" s="244"/>
      <x:c r="K20" s="244"/>
      <x:c r="L20" s="244"/>
      <x:c r="M20" s="244"/>
      <x:c r="N20" s="244"/>
      <x:c r="O20" s="244"/>
      <x:c r="P20" s="244"/>
      <x:c r="Q20" s="244"/>
      <x:c r="R20" s="244"/>
      <x:c r="S20" s="244"/>
      <x:c r="T20" s="244"/>
      <x:c r="U20" s="261"/>
    </x:row>
    <x:row r="21">
      <x:c r="A21" s="3"/>
      <x:c r="B21" s="262"/>
      <x:c r="C21" s="244"/>
      <x:c r="D21" s="244"/>
      <x:c r="E21" s="244"/>
      <x:c r="F21" s="244"/>
      <x:c r="G21" s="244"/>
      <x:c r="H21" s="244"/>
      <x:c r="I21" s="244"/>
      <x:c r="J21" s="244"/>
      <x:c r="K21" s="244"/>
      <x:c r="L21" s="244"/>
      <x:c r="M21" s="244"/>
      <x:c r="N21" s="244"/>
      <x:c r="O21" s="244"/>
      <x:c r="P21" s="244"/>
      <x:c r="Q21" s="244"/>
      <x:c r="R21" s="244"/>
      <x:c r="S21" s="244"/>
      <x:c r="T21" s="244"/>
      <x:c r="U21" s="261"/>
    </x:row>
    <x:row r="22">
      <x:c r="A22" s="3"/>
      <x:c r="B22" s="263" t="str">
        <x:v>The 20-minute monthly rhythm</x:v>
      </x:c>
      <x:c r="C22" s="248" t="str">
        <x:v>The 20-minute monthly rhythm</x:v>
      </x:c>
      <x:c r="D22" s="248" t="str">
        <x:v>The 20-minute monthly rhythm</x:v>
      </x:c>
      <x:c r="E22" s="248" t="str">
        <x:v>The 20-minute monthly rhythm</x:v>
      </x:c>
      <x:c r="F22" s="248" t="str">
        <x:v>The 20-minute monthly rhythm</x:v>
      </x:c>
      <x:c r="G22" s="248" t="str">
        <x:v>The 20-minute monthly rhythm</x:v>
      </x:c>
      <x:c r="H22" s="248" t="str">
        <x:v>The 20-minute monthly rhythm</x:v>
      </x:c>
      <x:c r="I22" s="248" t="str">
        <x:v>The 20-minute monthly rhythm</x:v>
      </x:c>
      <x:c r="J22" s="248" t="str">
        <x:v>The 20-minute monthly rhythm</x:v>
      </x:c>
      <x:c r="K22" s="248" t="str">
        <x:v>The 20-minute monthly rhythm</x:v>
      </x:c>
      <x:c r="L22" s="244"/>
      <x:c r="M22" s="244"/>
      <x:c r="N22" s="244"/>
      <x:c r="O22" s="244"/>
      <x:c r="P22" s="244"/>
      <x:c r="Q22" s="244"/>
      <x:c r="R22" s="244"/>
      <x:c r="S22" s="244"/>
      <x:c r="T22" s="244"/>
      <x:c r="U22" s="261"/>
    </x:row>
    <x:row r="23">
      <x:c r="A23" s="3"/>
      <x:c r="B23" s="336" t="str">
        <x:v>1</x:v>
      </x:c>
      <x:c r="C23" s="252" t="str">
        <x:v>Set or adjust the budget on Monthly Plan.</x:v>
      </x:c>
      <x:c r="D23" s="252" t="str"/>
      <x:c r="E23" s="252" t="str"/>
      <x:c r="F23" s="252" t="str"/>
      <x:c r="G23" s="252" t="str"/>
      <x:c r="H23" s="252" t="str"/>
      <x:c r="I23" s="252" t="str"/>
      <x:c r="J23" s="252" t="str"/>
      <x:c r="K23" s="252" t="str"/>
      <x:c r="L23" s="244"/>
      <x:c r="M23" s="244"/>
      <x:c r="N23" s="244"/>
      <x:c r="O23" s="244"/>
      <x:c r="P23" s="244"/>
      <x:c r="Q23" s="244"/>
      <x:c r="R23" s="244"/>
      <x:c r="S23" s="244"/>
      <x:c r="T23" s="244"/>
      <x:c r="U23" s="261"/>
    </x:row>
    <x:row r="24">
      <x:c r="A24" s="3"/>
      <x:c r="B24" s="336" t="str">
        <x:v>2</x:v>
      </x:c>
      <x:c r="C24" s="252" t="str">
        <x:v>Enter actual income and spending in Daily Log.</x:v>
      </x:c>
      <x:c r="D24" s="252" t="str"/>
      <x:c r="E24" s="252" t="str"/>
      <x:c r="F24" s="252" t="str"/>
      <x:c r="G24" s="252" t="str"/>
      <x:c r="H24" s="252" t="str"/>
      <x:c r="I24" s="252" t="str"/>
      <x:c r="J24" s="252" t="str"/>
      <x:c r="K24" s="252" t="str"/>
      <x:c r="L24" s="244"/>
      <x:c r="M24" s="244"/>
      <x:c r="N24" s="244"/>
      <x:c r="O24" s="244"/>
      <x:c r="P24" s="244"/>
      <x:c r="Q24" s="244"/>
      <x:c r="R24" s="244"/>
      <x:c r="S24" s="244"/>
      <x:c r="T24" s="244"/>
      <x:c r="U24" s="261"/>
    </x:row>
    <x:row r="25">
      <x:c r="A25" s="3"/>
      <x:c r="B25" s="336" t="str">
        <x:v>3</x:v>
      </x:c>
      <x:c r="C25" s="252" t="str">
        <x:v>Check bills due before each paycheck.</x:v>
      </x:c>
      <x:c r="D25" s="252" t="str"/>
      <x:c r="E25" s="252" t="str"/>
      <x:c r="F25" s="252" t="str"/>
      <x:c r="G25" s="252" t="str"/>
      <x:c r="H25" s="252" t="str"/>
      <x:c r="I25" s="252" t="str"/>
      <x:c r="J25" s="252" t="str"/>
      <x:c r="K25" s="252" t="str"/>
      <x:c r="L25" s="244"/>
      <x:c r="M25" s="244"/>
      <x:c r="N25" s="244"/>
      <x:c r="O25" s="244"/>
      <x:c r="P25" s="244"/>
      <x:c r="Q25" s="244"/>
      <x:c r="R25" s="244"/>
      <x:c r="S25" s="244"/>
      <x:c r="T25" s="244"/>
      <x:c r="U25" s="261"/>
    </x:row>
    <x:row r="26">
      <x:c r="A26" s="3"/>
      <x:c r="B26" s="336" t="str">
        <x:v>4</x:v>
      </x:c>
      <x:c r="C26" s="252" t="str">
        <x:v>Review subscriptions and debt pressure.</x:v>
      </x:c>
      <x:c r="D26" s="252" t="str"/>
      <x:c r="E26" s="252" t="str"/>
      <x:c r="F26" s="252" t="str"/>
      <x:c r="G26" s="252" t="str"/>
      <x:c r="H26" s="252" t="str"/>
      <x:c r="I26" s="252" t="str"/>
      <x:c r="J26" s="252" t="str"/>
      <x:c r="K26" s="252" t="str"/>
      <x:c r="L26" s="244"/>
      <x:c r="M26" s="244"/>
      <x:c r="N26" s="244"/>
      <x:c r="O26" s="244"/>
      <x:c r="P26" s="244"/>
      <x:c r="Q26" s="244"/>
      <x:c r="R26" s="244"/>
      <x:c r="S26" s="244"/>
      <x:c r="T26" s="244"/>
      <x:c r="U26" s="261"/>
    </x:row>
    <x:row r="27">
      <x:c r="A27" s="3"/>
      <x:c r="B27" s="336" t="str">
        <x:v>5</x:v>
      </x:c>
      <x:c r="C27" s="252" t="str">
        <x:v>Pick one money leak to fix.</x:v>
      </x:c>
      <x:c r="D27" s="252" t="str"/>
      <x:c r="E27" s="252" t="str"/>
      <x:c r="F27" s="252" t="str"/>
      <x:c r="G27" s="252" t="str"/>
      <x:c r="H27" s="252" t="str"/>
      <x:c r="I27" s="252" t="str"/>
      <x:c r="J27" s="252" t="str"/>
      <x:c r="K27" s="252" t="str"/>
      <x:c r="L27" s="244"/>
      <x:c r="M27" s="244"/>
      <x:c r="N27" s="244"/>
      <x:c r="O27" s="244"/>
      <x:c r="P27" s="244"/>
      <x:c r="Q27" s="244"/>
      <x:c r="R27" s="244"/>
      <x:c r="S27" s="244"/>
      <x:c r="T27" s="244"/>
      <x:c r="U27" s="261"/>
    </x:row>
    <x:row r="28">
      <x:c r="A28" s="3"/>
      <x:c r="B28" s="336" t="str">
        <x:v>6</x:v>
      </x:c>
      <x:c r="C28" s="252" t="str">
        <x:v>Return to the dashboard and write the next move.</x:v>
      </x:c>
      <x:c r="D28" s="252" t="str"/>
      <x:c r="E28" s="252" t="str"/>
      <x:c r="F28" s="252" t="str"/>
      <x:c r="G28" s="252" t="str"/>
      <x:c r="H28" s="252" t="str"/>
      <x:c r="I28" s="252" t="str"/>
      <x:c r="J28" s="252" t="str"/>
      <x:c r="K28" s="252" t="str"/>
      <x:c r="L28" s="244"/>
      <x:c r="M28" s="244"/>
      <x:c r="N28" s="244"/>
      <x:c r="O28" s="244"/>
      <x:c r="P28" s="244"/>
      <x:c r="Q28" s="244"/>
      <x:c r="R28" s="244"/>
      <x:c r="S28" s="244"/>
      <x:c r="T28" s="244"/>
      <x:c r="U28" s="261"/>
    </x:row>
    <x:row r="29">
      <x:c r="A29" s="3"/>
      <x:c r="B29" s="262"/>
      <x:c r="C29" s="244"/>
      <x:c r="D29" s="244"/>
      <x:c r="E29" s="244"/>
      <x:c r="F29" s="244"/>
      <x:c r="G29" s="244"/>
      <x:c r="H29" s="244"/>
      <x:c r="I29" s="244"/>
      <x:c r="J29" s="244"/>
      <x:c r="K29" s="244"/>
      <x:c r="L29" s="244"/>
      <x:c r="M29" s="244"/>
      <x:c r="N29" s="244"/>
      <x:c r="O29" s="244"/>
      <x:c r="P29" s="244"/>
      <x:c r="Q29" s="244"/>
      <x:c r="R29" s="244"/>
      <x:c r="S29" s="244"/>
      <x:c r="T29" s="244"/>
      <x:c r="U29" s="261"/>
    </x:row>
    <x:row r="30">
      <x:c r="A30" s="3"/>
      <x:c r="B30" s="262"/>
      <x:c r="C30" s="244"/>
      <x:c r="D30" s="244"/>
      <x:c r="E30" s="244"/>
      <x:c r="F30" s="244"/>
      <x:c r="G30" s="244"/>
      <x:c r="H30" s="244"/>
      <x:c r="I30" s="244"/>
      <x:c r="J30" s="244"/>
      <x:c r="K30" s="244"/>
      <x:c r="L30" s="244"/>
      <x:c r="M30" s="244"/>
      <x:c r="N30" s="244"/>
      <x:c r="O30" s="244"/>
      <x:c r="P30" s="244"/>
      <x:c r="Q30" s="244"/>
      <x:c r="R30" s="244"/>
      <x:c r="S30" s="244"/>
      <x:c r="T30" s="244"/>
      <x:c r="U30" s="261"/>
    </x:row>
    <x:row r="31">
      <x:c r="A31" s="3"/>
      <x:c r="B31" s="262"/>
      <x:c r="C31" s="244"/>
      <x:c r="D31" s="244"/>
      <x:c r="E31" s="244"/>
      <x:c r="F31" s="244"/>
      <x:c r="G31" s="244"/>
      <x:c r="H31" s="244"/>
      <x:c r="I31" s="244"/>
      <x:c r="J31" s="244"/>
      <x:c r="K31" s="244"/>
      <x:c r="L31" s="244"/>
      <x:c r="M31" s="244"/>
      <x:c r="N31" s="244"/>
      <x:c r="O31" s="244"/>
      <x:c r="P31" s="244"/>
      <x:c r="Q31" s="244"/>
      <x:c r="R31" s="244"/>
      <x:c r="S31" s="244"/>
      <x:c r="T31" s="244"/>
      <x:c r="U31" s="261"/>
    </x:row>
    <x:row r="32">
      <x:c r="A32" s="3"/>
      <x:c r="B32" s="262"/>
      <x:c r="C32" s="244"/>
      <x:c r="D32" s="244"/>
      <x:c r="E32" s="244"/>
      <x:c r="F32" s="244"/>
      <x:c r="G32" s="244"/>
      <x:c r="H32" s="244"/>
      <x:c r="I32" s="244"/>
      <x:c r="J32" s="244"/>
      <x:c r="K32" s="244"/>
      <x:c r="L32" s="244"/>
      <x:c r="M32" s="244"/>
      <x:c r="N32" s="244"/>
      <x:c r="O32" s="244"/>
      <x:c r="P32" s="244"/>
      <x:c r="Q32" s="244"/>
      <x:c r="R32" s="244"/>
      <x:c r="S32" s="244"/>
      <x:c r="T32" s="244"/>
      <x:c r="U32" s="261"/>
    </x:row>
    <x:row r="33">
      <x:c r="A33" s="3"/>
      <x:c r="B33" s="262"/>
      <x:c r="C33" s="244"/>
      <x:c r="D33" s="244"/>
      <x:c r="E33" s="244"/>
      <x:c r="F33" s="244"/>
      <x:c r="G33" s="244"/>
      <x:c r="H33" s="244"/>
      <x:c r="I33" s="244"/>
      <x:c r="J33" s="244"/>
      <x:c r="K33" s="244"/>
      <x:c r="L33" s="244"/>
      <x:c r="M33" s="244"/>
      <x:c r="N33" s="244"/>
      <x:c r="O33" s="244"/>
      <x:c r="P33" s="244"/>
      <x:c r="Q33" s="244"/>
      <x:c r="R33" s="244"/>
      <x:c r="S33" s="244"/>
      <x:c r="T33" s="244"/>
      <x:c r="U33" s="261"/>
    </x:row>
    <x:row r="34">
      <x:c r="A34" s="3"/>
      <x:c r="B34" s="262"/>
      <x:c r="C34" s="244"/>
      <x:c r="D34" s="244"/>
      <x:c r="E34" s="244"/>
      <x:c r="F34" s="244"/>
      <x:c r="G34" s="244"/>
      <x:c r="H34" s="244"/>
      <x:c r="I34" s="244"/>
      <x:c r="J34" s="244"/>
      <x:c r="K34" s="244"/>
      <x:c r="L34" s="244"/>
      <x:c r="M34" s="244"/>
      <x:c r="N34" s="244"/>
      <x:c r="O34" s="244"/>
      <x:c r="P34" s="244"/>
      <x:c r="Q34" s="244"/>
      <x:c r="R34" s="244"/>
      <x:c r="S34" s="244"/>
      <x:c r="T34" s="244"/>
      <x:c r="U34" s="261"/>
    </x:row>
    <x:row r="35">
      <x:c r="A35" s="3"/>
      <x:c r="B35" s="262"/>
      <x:c r="C35" s="244"/>
      <x:c r="D35" s="244"/>
      <x:c r="E35" s="244"/>
      <x:c r="F35" s="244"/>
      <x:c r="G35" s="244"/>
      <x:c r="H35" s="244"/>
      <x:c r="I35" s="244"/>
      <x:c r="J35" s="244"/>
      <x:c r="K35" s="244"/>
      <x:c r="L35" s="244"/>
      <x:c r="M35" s="244"/>
      <x:c r="N35" s="244"/>
      <x:c r="O35" s="244"/>
      <x:c r="P35" s="244"/>
      <x:c r="Q35" s="244"/>
      <x:c r="R35" s="244"/>
      <x:c r="S35" s="244"/>
      <x:c r="T35" s="244"/>
      <x:c r="U35" s="261"/>
    </x:row>
    <x:row r="36">
      <x:c r="A36" s="3"/>
      <x:c r="B36" s="262"/>
      <x:c r="C36" s="244"/>
      <x:c r="D36" s="244"/>
      <x:c r="E36" s="244"/>
      <x:c r="F36" s="244"/>
      <x:c r="G36" s="244"/>
      <x:c r="H36" s="244"/>
      <x:c r="I36" s="244"/>
      <x:c r="J36" s="244"/>
      <x:c r="K36" s="244"/>
      <x:c r="L36" s="244"/>
      <x:c r="M36" s="244"/>
      <x:c r="N36" s="244"/>
      <x:c r="O36" s="244"/>
      <x:c r="P36" s="244"/>
      <x:c r="Q36" s="244"/>
      <x:c r="R36" s="244"/>
      <x:c r="S36" s="244"/>
      <x:c r="T36" s="244"/>
      <x:c r="U36" s="261"/>
    </x:row>
    <x:row r="37">
      <x:c r="A37" s="3"/>
      <x:c r="B37" s="262"/>
      <x:c r="C37" s="244"/>
      <x:c r="D37" s="244"/>
      <x:c r="E37" s="244"/>
      <x:c r="F37" s="244"/>
      <x:c r="G37" s="244"/>
      <x:c r="H37" s="244"/>
      <x:c r="I37" s="244"/>
      <x:c r="J37" s="244"/>
      <x:c r="K37" s="244"/>
      <x:c r="L37" s="244"/>
      <x:c r="M37" s="244"/>
      <x:c r="N37" s="244"/>
      <x:c r="O37" s="244"/>
      <x:c r="P37" s="244"/>
      <x:c r="Q37" s="244"/>
      <x:c r="R37" s="244"/>
      <x:c r="S37" s="244"/>
      <x:c r="T37" s="244"/>
      <x:c r="U37" s="261"/>
    </x:row>
    <x:row r="38">
      <x:c r="A38" s="3"/>
      <x:c r="B38" s="262"/>
      <x:c r="C38" s="244"/>
      <x:c r="D38" s="244"/>
      <x:c r="E38" s="244"/>
      <x:c r="F38" s="244"/>
      <x:c r="G38" s="244"/>
      <x:c r="H38" s="244"/>
      <x:c r="I38" s="244"/>
      <x:c r="J38" s="244"/>
      <x:c r="K38" s="244"/>
      <x:c r="L38" s="244"/>
      <x:c r="M38" s="244"/>
      <x:c r="N38" s="244"/>
      <x:c r="O38" s="244"/>
      <x:c r="P38" s="244"/>
      <x:c r="Q38" s="244"/>
      <x:c r="R38" s="244"/>
      <x:c r="S38" s="244"/>
      <x:c r="T38" s="244"/>
      <x:c r="U38" s="261"/>
    </x:row>
    <x:row r="39">
      <x:c r="A39" s="3"/>
      <x:c r="B39" s="262"/>
      <x:c r="C39" s="244"/>
      <x:c r="D39" s="244"/>
      <x:c r="E39" s="244"/>
      <x:c r="F39" s="244"/>
      <x:c r="G39" s="244"/>
      <x:c r="H39" s="244"/>
      <x:c r="I39" s="244"/>
      <x:c r="J39" s="244"/>
      <x:c r="K39" s="244"/>
      <x:c r="L39" s="244"/>
      <x:c r="M39" s="244"/>
      <x:c r="N39" s="244"/>
      <x:c r="O39" s="244"/>
      <x:c r="P39" s="244"/>
      <x:c r="Q39" s="244"/>
      <x:c r="R39" s="244"/>
      <x:c r="S39" s="244"/>
      <x:c r="T39" s="244"/>
      <x:c r="U39" s="261"/>
    </x:row>
    <x:row r="40">
      <x:c r="A40" s="3"/>
      <x:c r="B40" s="262"/>
      <x:c r="C40" s="244"/>
      <x:c r="D40" s="244"/>
      <x:c r="E40" s="244"/>
      <x:c r="F40" s="244"/>
      <x:c r="G40" s="244"/>
      <x:c r="H40" s="244"/>
      <x:c r="I40" s="244"/>
      <x:c r="J40" s="244"/>
      <x:c r="K40" s="244"/>
      <x:c r="L40" s="244"/>
      <x:c r="M40" s="244"/>
      <x:c r="N40" s="244"/>
      <x:c r="O40" s="244"/>
      <x:c r="P40" s="244"/>
      <x:c r="Q40" s="244"/>
      <x:c r="R40" s="244"/>
      <x:c r="S40" s="244"/>
      <x:c r="T40" s="244"/>
      <x:c r="U40" s="261"/>
    </x:row>
    <x:row r="41">
      <x:c r="A41" s="3"/>
      <x:c r="B41" s="262"/>
      <x:c r="C41" s="244"/>
      <x:c r="D41" s="244"/>
      <x:c r="E41" s="244"/>
      <x:c r="F41" s="244"/>
      <x:c r="G41" s="244"/>
      <x:c r="H41" s="244"/>
      <x:c r="I41" s="244"/>
      <x:c r="J41" s="244"/>
      <x:c r="K41" s="244"/>
      <x:c r="L41" s="244"/>
      <x:c r="M41" s="244"/>
      <x:c r="N41" s="244"/>
      <x:c r="O41" s="244"/>
      <x:c r="P41" s="244"/>
      <x:c r="Q41" s="244"/>
      <x:c r="R41" s="244"/>
      <x:c r="S41" s="244"/>
      <x:c r="T41" s="244"/>
      <x:c r="U41" s="261"/>
    </x:row>
    <x:row r="42">
      <x:c r="A42" s="3"/>
      <x:c r="B42" s="262"/>
      <x:c r="C42" s="244"/>
      <x:c r="D42" s="244"/>
      <x:c r="E42" s="244"/>
      <x:c r="F42" s="244"/>
      <x:c r="G42" s="244"/>
      <x:c r="H42" s="244"/>
      <x:c r="I42" s="244"/>
      <x:c r="J42" s="244"/>
      <x:c r="K42" s="244"/>
      <x:c r="L42" s="244"/>
      <x:c r="M42" s="244"/>
      <x:c r="N42" s="244"/>
      <x:c r="O42" s="244"/>
      <x:c r="P42" s="244"/>
      <x:c r="Q42" s="244"/>
      <x:c r="R42" s="244"/>
      <x:c r="S42" s="244"/>
      <x:c r="T42" s="244"/>
      <x:c r="U42" s="261"/>
    </x:row>
    <x:row r="43">
      <x:c r="A43" s="3"/>
      <x:c r="B43" s="262"/>
      <x:c r="C43" s="244"/>
      <x:c r="D43" s="244"/>
      <x:c r="E43" s="244"/>
      <x:c r="F43" s="244"/>
      <x:c r="G43" s="244"/>
      <x:c r="H43" s="244"/>
      <x:c r="I43" s="244"/>
      <x:c r="J43" s="244"/>
      <x:c r="K43" s="244"/>
      <x:c r="L43" s="244"/>
      <x:c r="M43" s="244"/>
      <x:c r="N43" s="244"/>
      <x:c r="O43" s="244"/>
      <x:c r="P43" s="244"/>
      <x:c r="Q43" s="244"/>
      <x:c r="R43" s="244"/>
      <x:c r="S43" s="244"/>
      <x:c r="T43" s="244"/>
      <x:c r="U43" s="261"/>
    </x:row>
    <x:row r="44">
      <x:c r="A44" s="3"/>
      <x:c r="B44" s="262"/>
      <x:c r="C44" s="244"/>
      <x:c r="D44" s="244"/>
      <x:c r="E44" s="244"/>
      <x:c r="F44" s="244"/>
      <x:c r="G44" s="244"/>
      <x:c r="H44" s="244"/>
      <x:c r="I44" s="244"/>
      <x:c r="J44" s="244"/>
      <x:c r="K44" s="244"/>
      <x:c r="L44" s="244"/>
      <x:c r="M44" s="244"/>
      <x:c r="N44" s="244"/>
      <x:c r="O44" s="244"/>
      <x:c r="P44" s="244"/>
      <x:c r="Q44" s="244"/>
      <x:c r="R44" s="244"/>
      <x:c r="S44" s="244"/>
      <x:c r="T44" s="244"/>
      <x:c r="U44" s="261"/>
    </x:row>
    <x:row r="45">
      <x:c r="A45" s="3"/>
      <x:c r="B45" s="262"/>
      <x:c r="C45" s="244"/>
      <x:c r="D45" s="244"/>
      <x:c r="E45" s="244"/>
      <x:c r="F45" s="244"/>
      <x:c r="G45" s="244"/>
      <x:c r="H45" s="244"/>
      <x:c r="I45" s="244"/>
      <x:c r="J45" s="244"/>
      <x:c r="K45" s="244"/>
      <x:c r="L45" s="244"/>
      <x:c r="M45" s="244"/>
      <x:c r="N45" s="244"/>
      <x:c r="O45" s="244"/>
      <x:c r="P45" s="244"/>
      <x:c r="Q45" s="244"/>
      <x:c r="R45" s="244"/>
      <x:c r="S45" s="244"/>
      <x:c r="T45" s="244"/>
      <x:c r="U45" s="261"/>
    </x:row>
    <x:row r="46">
      <x:c r="A46" s="3"/>
      <x:c r="B46" s="262"/>
      <x:c r="C46" s="244"/>
      <x:c r="D46" s="244"/>
      <x:c r="E46" s="244"/>
      <x:c r="F46" s="244"/>
      <x:c r="G46" s="244"/>
      <x:c r="H46" s="244"/>
      <x:c r="I46" s="244"/>
      <x:c r="J46" s="244"/>
      <x:c r="K46" s="244"/>
      <x:c r="L46" s="244"/>
      <x:c r="M46" s="244"/>
      <x:c r="N46" s="244"/>
      <x:c r="O46" s="244"/>
      <x:c r="P46" s="244"/>
      <x:c r="Q46" s="244"/>
      <x:c r="R46" s="244"/>
      <x:c r="S46" s="244"/>
      <x:c r="T46" s="244"/>
      <x:c r="U46" s="261"/>
    </x:row>
    <x:row r="47">
      <x:c r="A47" s="3"/>
      <x:c r="B47" s="262"/>
      <x:c r="C47" s="244"/>
      <x:c r="D47" s="244"/>
      <x:c r="E47" s="244"/>
      <x:c r="F47" s="244"/>
      <x:c r="G47" s="244"/>
      <x:c r="H47" s="244"/>
      <x:c r="I47" s="244"/>
      <x:c r="J47" s="244"/>
      <x:c r="K47" s="244"/>
      <x:c r="L47" s="244"/>
      <x:c r="M47" s="244"/>
      <x:c r="N47" s="244"/>
      <x:c r="O47" s="244"/>
      <x:c r="P47" s="244"/>
      <x:c r="Q47" s="244"/>
      <x:c r="R47" s="244"/>
      <x:c r="S47" s="244"/>
      <x:c r="T47" s="244"/>
      <x:c r="U47" s="261"/>
    </x:row>
    <x:row r="48">
      <x:c r="A48" s="3"/>
      <x:c r="B48" s="262"/>
      <x:c r="C48" s="244"/>
      <x:c r="D48" s="244"/>
      <x:c r="E48" s="244"/>
      <x:c r="F48" s="244"/>
      <x:c r="G48" s="244"/>
      <x:c r="H48" s="244"/>
      <x:c r="I48" s="244"/>
      <x:c r="J48" s="244"/>
      <x:c r="K48" s="244"/>
      <x:c r="L48" s="244"/>
      <x:c r="M48" s="244"/>
      <x:c r="N48" s="244"/>
      <x:c r="O48" s="244"/>
      <x:c r="P48" s="244"/>
      <x:c r="Q48" s="244"/>
      <x:c r="R48" s="244"/>
      <x:c r="S48" s="244"/>
      <x:c r="T48" s="244"/>
      <x:c r="U48" s="261"/>
    </x:row>
    <x:row r="49">
      <x:c r="A49" s="3"/>
      <x:c r="B49" s="262"/>
      <x:c r="C49" s="244"/>
      <x:c r="D49" s="244"/>
      <x:c r="E49" s="244"/>
      <x:c r="F49" s="244"/>
      <x:c r="G49" s="244"/>
      <x:c r="H49" s="244"/>
      <x:c r="I49" s="244"/>
      <x:c r="J49" s="244"/>
      <x:c r="K49" s="244"/>
      <x:c r="L49" s="244"/>
      <x:c r="M49" s="244"/>
      <x:c r="N49" s="244"/>
      <x:c r="O49" s="244"/>
      <x:c r="P49" s="244"/>
      <x:c r="Q49" s="244"/>
      <x:c r="R49" s="244"/>
      <x:c r="S49" s="244"/>
      <x:c r="T49" s="244"/>
      <x:c r="U49" s="261"/>
    </x:row>
    <x:row r="50">
      <x:c r="A50" s="3"/>
      <x:c r="B50" s="262"/>
      <x:c r="C50" s="244"/>
      <x:c r="D50" s="244"/>
      <x:c r="E50" s="244"/>
      <x:c r="F50" s="244"/>
      <x:c r="G50" s="244"/>
      <x:c r="H50" s="244"/>
      <x:c r="I50" s="244"/>
      <x:c r="J50" s="244"/>
      <x:c r="K50" s="244"/>
      <x:c r="L50" s="244"/>
      <x:c r="M50" s="244"/>
      <x:c r="N50" s="244"/>
      <x:c r="O50" s="244"/>
      <x:c r="P50" s="244"/>
      <x:c r="Q50" s="244"/>
      <x:c r="R50" s="244"/>
      <x:c r="S50" s="244"/>
      <x:c r="T50" s="244"/>
      <x:c r="U50" s="261"/>
    </x:row>
    <x:row r="51">
      <x:c r="A51" s="3"/>
      <x:c r="B51" s="262"/>
      <x:c r="C51" s="244"/>
      <x:c r="D51" s="244"/>
      <x:c r="E51" s="244"/>
      <x:c r="F51" s="244"/>
      <x:c r="G51" s="244"/>
      <x:c r="H51" s="244"/>
      <x:c r="I51" s="244"/>
      <x:c r="J51" s="244"/>
      <x:c r="K51" s="244"/>
      <x:c r="L51" s="244"/>
      <x:c r="M51" s="244"/>
      <x:c r="N51" s="244"/>
      <x:c r="O51" s="244"/>
      <x:c r="P51" s="244"/>
      <x:c r="Q51" s="244"/>
      <x:c r="R51" s="244"/>
      <x:c r="S51" s="244"/>
      <x:c r="T51" s="244"/>
      <x:c r="U51" s="261"/>
    </x:row>
    <x:row r="52">
      <x:c r="A52" s="3"/>
      <x:c r="B52" s="262"/>
      <x:c r="C52" s="244"/>
      <x:c r="D52" s="244"/>
      <x:c r="E52" s="244"/>
      <x:c r="F52" s="244"/>
      <x:c r="G52" s="244"/>
      <x:c r="H52" s="244"/>
      <x:c r="I52" s="244"/>
      <x:c r="J52" s="244"/>
      <x:c r="K52" s="244"/>
      <x:c r="L52" s="244"/>
      <x:c r="M52" s="244"/>
      <x:c r="N52" s="244"/>
      <x:c r="O52" s="244"/>
      <x:c r="P52" s="244"/>
      <x:c r="Q52" s="244"/>
      <x:c r="R52" s="244"/>
      <x:c r="S52" s="244"/>
      <x:c r="T52" s="244"/>
      <x:c r="U52" s="261"/>
    </x:row>
    <x:row r="53">
      <x:c r="A53" s="3"/>
      <x:c r="B53" s="262"/>
      <x:c r="C53" s="244"/>
      <x:c r="D53" s="244"/>
      <x:c r="E53" s="244"/>
      <x:c r="F53" s="244"/>
      <x:c r="G53" s="244"/>
      <x:c r="H53" s="244"/>
      <x:c r="I53" s="244"/>
      <x:c r="J53" s="244"/>
      <x:c r="K53" s="244"/>
      <x:c r="L53" s="244"/>
      <x:c r="M53" s="244"/>
      <x:c r="N53" s="244"/>
      <x:c r="O53" s="244"/>
      <x:c r="P53" s="244"/>
      <x:c r="Q53" s="244"/>
      <x:c r="R53" s="244"/>
      <x:c r="S53" s="244"/>
      <x:c r="T53" s="244"/>
      <x:c r="U53" s="261"/>
    </x:row>
    <x:row r="54">
      <x:c r="A54" s="3"/>
      <x:c r="B54" s="262"/>
      <x:c r="C54" s="244"/>
      <x:c r="D54" s="244"/>
      <x:c r="E54" s="244"/>
      <x:c r="F54" s="244"/>
      <x:c r="G54" s="244"/>
      <x:c r="H54" s="244"/>
      <x:c r="I54" s="244"/>
      <x:c r="J54" s="244"/>
      <x:c r="K54" s="244"/>
      <x:c r="L54" s="244"/>
      <x:c r="M54" s="244"/>
      <x:c r="N54" s="244"/>
      <x:c r="O54" s="244"/>
      <x:c r="P54" s="244"/>
      <x:c r="Q54" s="244"/>
      <x:c r="R54" s="244"/>
      <x:c r="S54" s="244"/>
      <x:c r="T54" s="244"/>
      <x:c r="U54" s="261"/>
    </x:row>
    <x:row r="55">
      <x:c r="A55" s="3"/>
      <x:c r="B55" s="262"/>
      <x:c r="C55" s="244"/>
      <x:c r="D55" s="244"/>
      <x:c r="E55" s="244"/>
      <x:c r="F55" s="244"/>
      <x:c r="G55" s="244"/>
      <x:c r="H55" s="244"/>
      <x:c r="I55" s="244"/>
      <x:c r="J55" s="244"/>
      <x:c r="K55" s="244"/>
      <x:c r="L55" s="244"/>
      <x:c r="M55" s="244"/>
      <x:c r="N55" s="244"/>
      <x:c r="O55" s="244"/>
      <x:c r="P55" s="244"/>
      <x:c r="Q55" s="244"/>
      <x:c r="R55" s="244"/>
      <x:c r="S55" s="244"/>
      <x:c r="T55" s="244"/>
      <x:c r="U55" s="261"/>
    </x:row>
    <x:row r="56">
      <x:c r="A56" s="3"/>
      <x:c r="B56" s="262"/>
      <x:c r="C56" s="244"/>
      <x:c r="D56" s="244"/>
      <x:c r="E56" s="244"/>
      <x:c r="F56" s="244"/>
      <x:c r="G56" s="244"/>
      <x:c r="H56" s="244"/>
      <x:c r="I56" s="244"/>
      <x:c r="J56" s="244"/>
      <x:c r="K56" s="244"/>
      <x:c r="L56" s="244"/>
      <x:c r="M56" s="244"/>
      <x:c r="N56" s="244"/>
      <x:c r="O56" s="244"/>
      <x:c r="P56" s="244"/>
      <x:c r="Q56" s="244"/>
      <x:c r="R56" s="244"/>
      <x:c r="S56" s="244"/>
      <x:c r="T56" s="244"/>
      <x:c r="U56" s="261"/>
    </x:row>
    <x:row r="57">
      <x:c r="A57" s="3"/>
      <x:c r="B57" s="262"/>
      <x:c r="C57" s="244"/>
      <x:c r="D57" s="244"/>
      <x:c r="E57" s="244"/>
      <x:c r="F57" s="244"/>
      <x:c r="G57" s="244"/>
      <x:c r="H57" s="244"/>
      <x:c r="I57" s="244"/>
      <x:c r="J57" s="244"/>
      <x:c r="K57" s="244"/>
      <x:c r="L57" s="244"/>
      <x:c r="M57" s="244"/>
      <x:c r="N57" s="244"/>
      <x:c r="O57" s="244"/>
      <x:c r="P57" s="244"/>
      <x:c r="Q57" s="244"/>
      <x:c r="R57" s="244"/>
      <x:c r="S57" s="244"/>
      <x:c r="T57" s="244"/>
      <x:c r="U57" s="261"/>
    </x:row>
    <x:row r="58">
      <x:c r="A58" s="3"/>
      <x:c r="B58" s="262"/>
      <x:c r="C58" s="244"/>
      <x:c r="D58" s="244"/>
      <x:c r="E58" s="244"/>
      <x:c r="F58" s="244"/>
      <x:c r="G58" s="244"/>
      <x:c r="H58" s="244"/>
      <x:c r="I58" s="244"/>
      <x:c r="J58" s="244"/>
      <x:c r="K58" s="244"/>
      <x:c r="L58" s="244"/>
      <x:c r="M58" s="244"/>
      <x:c r="N58" s="244"/>
      <x:c r="O58" s="244"/>
      <x:c r="P58" s="244"/>
      <x:c r="Q58" s="244"/>
      <x:c r="R58" s="244"/>
      <x:c r="S58" s="244"/>
      <x:c r="T58" s="244"/>
      <x:c r="U58" s="261"/>
    </x:row>
    <x:row r="59">
      <x:c r="A59" s="3"/>
      <x:c r="B59" s="262"/>
      <x:c r="C59" s="244"/>
      <x:c r="D59" s="244"/>
      <x:c r="E59" s="244"/>
      <x:c r="F59" s="244"/>
      <x:c r="G59" s="244"/>
      <x:c r="H59" s="244"/>
      <x:c r="I59" s="244"/>
      <x:c r="J59" s="244"/>
      <x:c r="K59" s="244"/>
      <x:c r="L59" s="244"/>
      <x:c r="M59" s="244"/>
      <x:c r="N59" s="244"/>
      <x:c r="O59" s="244"/>
      <x:c r="P59" s="244"/>
      <x:c r="Q59" s="244"/>
      <x:c r="R59" s="244"/>
      <x:c r="S59" s="244"/>
      <x:c r="T59" s="244"/>
      <x:c r="U59" s="261"/>
    </x:row>
    <x:row r="60">
      <x:c r="A60" s="3"/>
      <x:c r="B60" s="262"/>
      <x:c r="C60" s="244"/>
      <x:c r="D60" s="244"/>
      <x:c r="E60" s="244"/>
      <x:c r="F60" s="244"/>
      <x:c r="G60" s="244"/>
      <x:c r="H60" s="244"/>
      <x:c r="I60" s="244"/>
      <x:c r="J60" s="244"/>
      <x:c r="K60" s="244"/>
      <x:c r="L60" s="244"/>
      <x:c r="M60" s="244"/>
      <x:c r="N60" s="244"/>
      <x:c r="O60" s="244"/>
      <x:c r="P60" s="244"/>
      <x:c r="Q60" s="244"/>
      <x:c r="R60" s="244"/>
      <x:c r="S60" s="244"/>
      <x:c r="T60" s="244"/>
      <x:c r="U60" s="261"/>
    </x:row>
    <x:row r="61">
      <x:c r="A61" s="3"/>
      <x:c r="B61" s="262"/>
      <x:c r="C61" s="244"/>
      <x:c r="D61" s="244"/>
      <x:c r="E61" s="244"/>
      <x:c r="F61" s="244"/>
      <x:c r="G61" s="244"/>
      <x:c r="H61" s="244"/>
      <x:c r="I61" s="244"/>
      <x:c r="J61" s="244"/>
      <x:c r="K61" s="244"/>
      <x:c r="L61" s="244"/>
      <x:c r="M61" s="244"/>
      <x:c r="N61" s="244"/>
      <x:c r="O61" s="244"/>
      <x:c r="P61" s="244"/>
      <x:c r="Q61" s="244"/>
      <x:c r="R61" s="244"/>
      <x:c r="S61" s="244"/>
      <x:c r="T61" s="244"/>
      <x:c r="U61" s="261"/>
    </x:row>
    <x:row r="62">
      <x:c r="A62" s="3"/>
      <x:c r="B62" s="262"/>
      <x:c r="C62" s="244"/>
      <x:c r="D62" s="244"/>
      <x:c r="E62" s="244"/>
      <x:c r="F62" s="244"/>
      <x:c r="G62" s="244"/>
      <x:c r="H62" s="244"/>
      <x:c r="I62" s="244"/>
      <x:c r="J62" s="244"/>
      <x:c r="K62" s="244"/>
      <x:c r="L62" s="244"/>
      <x:c r="M62" s="244"/>
      <x:c r="N62" s="244"/>
      <x:c r="O62" s="244"/>
      <x:c r="P62" s="244"/>
      <x:c r="Q62" s="244"/>
      <x:c r="R62" s="244"/>
      <x:c r="S62" s="244"/>
      <x:c r="T62" s="244"/>
      <x:c r="U62" s="261"/>
    </x:row>
    <x:row r="63">
      <x:c r="A63" s="3"/>
      <x:c r="B63" s="262"/>
      <x:c r="C63" s="244"/>
      <x:c r="D63" s="244"/>
      <x:c r="E63" s="244"/>
      <x:c r="F63" s="244"/>
      <x:c r="G63" s="244"/>
      <x:c r="H63" s="244"/>
      <x:c r="I63" s="244"/>
      <x:c r="J63" s="244"/>
      <x:c r="K63" s="244"/>
      <x:c r="L63" s="244"/>
      <x:c r="M63" s="244"/>
      <x:c r="N63" s="244"/>
      <x:c r="O63" s="244"/>
      <x:c r="P63" s="244"/>
      <x:c r="Q63" s="244"/>
      <x:c r="R63" s="244"/>
      <x:c r="S63" s="244"/>
      <x:c r="T63" s="244"/>
      <x:c r="U63" s="261"/>
    </x:row>
    <x:row r="64">
      <x:c r="A64" s="3"/>
      <x:c r="B64" s="262"/>
      <x:c r="C64" s="244"/>
      <x:c r="D64" s="244"/>
      <x:c r="E64" s="244"/>
      <x:c r="F64" s="244"/>
      <x:c r="G64" s="244"/>
      <x:c r="H64" s="244"/>
      <x:c r="I64" s="244"/>
      <x:c r="J64" s="244"/>
      <x:c r="K64" s="244"/>
      <x:c r="L64" s="244"/>
      <x:c r="M64" s="244"/>
      <x:c r="N64" s="244"/>
      <x:c r="O64" s="244"/>
      <x:c r="P64" s="244"/>
      <x:c r="Q64" s="244"/>
      <x:c r="R64" s="244"/>
      <x:c r="S64" s="244"/>
      <x:c r="T64" s="244"/>
      <x:c r="U64" s="261"/>
    </x:row>
    <x:row r="65">
      <x:c r="A65" s="3"/>
      <x:c r="B65" s="262"/>
      <x:c r="C65" s="244"/>
      <x:c r="D65" s="244"/>
      <x:c r="E65" s="244"/>
      <x:c r="F65" s="244"/>
      <x:c r="G65" s="244"/>
      <x:c r="H65" s="244"/>
      <x:c r="I65" s="244"/>
      <x:c r="J65" s="244"/>
      <x:c r="K65" s="244"/>
      <x:c r="L65" s="244"/>
      <x:c r="M65" s="244"/>
      <x:c r="N65" s="244"/>
      <x:c r="O65" s="244"/>
      <x:c r="P65" s="244"/>
      <x:c r="Q65" s="244"/>
      <x:c r="R65" s="244"/>
      <x:c r="S65" s="244"/>
      <x:c r="T65" s="244"/>
      <x:c r="U65" s="261"/>
    </x:row>
    <x:row r="66">
      <x:c r="A66" s="3"/>
      <x:c r="B66" s="262"/>
      <x:c r="C66" s="244"/>
      <x:c r="D66" s="244"/>
      <x:c r="E66" s="244"/>
      <x:c r="F66" s="244"/>
      <x:c r="G66" s="244"/>
      <x:c r="H66" s="244"/>
      <x:c r="I66" s="244"/>
      <x:c r="J66" s="244"/>
      <x:c r="K66" s="244"/>
      <x:c r="L66" s="244"/>
      <x:c r="M66" s="244"/>
      <x:c r="N66" s="244"/>
      <x:c r="O66" s="244"/>
      <x:c r="P66" s="244"/>
      <x:c r="Q66" s="244"/>
      <x:c r="R66" s="244"/>
      <x:c r="S66" s="244"/>
      <x:c r="T66" s="244"/>
      <x:c r="U66" s="261"/>
    </x:row>
    <x:row r="67">
      <x:c r="A67" s="3"/>
      <x:c r="B67" s="262"/>
      <x:c r="C67" s="244"/>
      <x:c r="D67" s="244"/>
      <x:c r="E67" s="244"/>
      <x:c r="F67" s="244"/>
      <x:c r="G67" s="244"/>
      <x:c r="H67" s="244"/>
      <x:c r="I67" s="244"/>
      <x:c r="J67" s="244"/>
      <x:c r="K67" s="244"/>
      <x:c r="L67" s="244"/>
      <x:c r="M67" s="244"/>
      <x:c r="N67" s="244"/>
      <x:c r="O67" s="244"/>
      <x:c r="P67" s="244"/>
      <x:c r="Q67" s="244"/>
      <x:c r="R67" s="244"/>
      <x:c r="S67" s="244"/>
      <x:c r="T67" s="244"/>
      <x:c r="U67" s="261"/>
    </x:row>
    <x:row r="68">
      <x:c r="A68" s="3"/>
      <x:c r="B68" s="262"/>
      <x:c r="C68" s="244"/>
      <x:c r="D68" s="244"/>
      <x:c r="E68" s="244"/>
      <x:c r="F68" s="244"/>
      <x:c r="G68" s="244"/>
      <x:c r="H68" s="244"/>
      <x:c r="I68" s="244"/>
      <x:c r="J68" s="244"/>
      <x:c r="K68" s="244"/>
      <x:c r="L68" s="244"/>
      <x:c r="M68" s="244"/>
      <x:c r="N68" s="244"/>
      <x:c r="O68" s="244"/>
      <x:c r="P68" s="244"/>
      <x:c r="Q68" s="244"/>
      <x:c r="R68" s="244"/>
      <x:c r="S68" s="244"/>
      <x:c r="T68" s="244"/>
      <x:c r="U68" s="261"/>
    </x:row>
    <x:row r="69">
      <x:c r="A69" s="3"/>
      <x:c r="B69" s="262"/>
      <x:c r="C69" s="244"/>
      <x:c r="D69" s="244"/>
      <x:c r="E69" s="244"/>
      <x:c r="F69" s="244"/>
      <x:c r="G69" s="244"/>
      <x:c r="H69" s="244"/>
      <x:c r="I69" s="244"/>
      <x:c r="J69" s="244"/>
      <x:c r="K69" s="244"/>
      <x:c r="L69" s="244"/>
      <x:c r="M69" s="244"/>
      <x:c r="N69" s="244"/>
      <x:c r="O69" s="244"/>
      <x:c r="P69" s="244"/>
      <x:c r="Q69" s="244"/>
      <x:c r="R69" s="244"/>
      <x:c r="S69" s="244"/>
      <x:c r="T69" s="244"/>
      <x:c r="U69" s="261"/>
    </x:row>
    <x:row r="70">
      <x:c r="A70" s="3"/>
      <x:c r="B70" s="262"/>
      <x:c r="C70" s="244"/>
      <x:c r="D70" s="244"/>
      <x:c r="E70" s="244"/>
      <x:c r="F70" s="244"/>
      <x:c r="G70" s="244"/>
      <x:c r="H70" s="244"/>
      <x:c r="I70" s="244"/>
      <x:c r="J70" s="244"/>
      <x:c r="K70" s="244"/>
      <x:c r="L70" s="244"/>
      <x:c r="M70" s="244"/>
      <x:c r="N70" s="244"/>
      <x:c r="O70" s="244"/>
      <x:c r="P70" s="244"/>
      <x:c r="Q70" s="244"/>
      <x:c r="R70" s="244"/>
      <x:c r="S70" s="244"/>
      <x:c r="T70" s="244"/>
      <x:c r="U70" s="261"/>
    </x:row>
    <x:row r="71">
      <x:c r="A71" s="3"/>
      <x:c r="B71" s="262"/>
      <x:c r="C71" s="244"/>
      <x:c r="D71" s="244"/>
      <x:c r="E71" s="244"/>
      <x:c r="F71" s="244"/>
      <x:c r="G71" s="244"/>
      <x:c r="H71" s="244"/>
      <x:c r="I71" s="244"/>
      <x:c r="J71" s="244"/>
      <x:c r="K71" s="244"/>
      <x:c r="L71" s="244"/>
      <x:c r="M71" s="244"/>
      <x:c r="N71" s="244"/>
      <x:c r="O71" s="244"/>
      <x:c r="P71" s="244"/>
      <x:c r="Q71" s="244"/>
      <x:c r="R71" s="244"/>
      <x:c r="S71" s="244"/>
      <x:c r="T71" s="244"/>
      <x:c r="U71" s="261"/>
    </x:row>
    <x:row r="72">
      <x:c r="A72" s="3"/>
      <x:c r="B72" s="262"/>
      <x:c r="C72" s="244"/>
      <x:c r="D72" s="244"/>
      <x:c r="E72" s="244"/>
      <x:c r="F72" s="244"/>
      <x:c r="G72" s="244"/>
      <x:c r="H72" s="244"/>
      <x:c r="I72" s="244"/>
      <x:c r="J72" s="244"/>
      <x:c r="K72" s="244"/>
      <x:c r="L72" s="244"/>
      <x:c r="M72" s="244"/>
      <x:c r="N72" s="244"/>
      <x:c r="O72" s="244"/>
      <x:c r="P72" s="244"/>
      <x:c r="Q72" s="244"/>
      <x:c r="R72" s="244"/>
      <x:c r="S72" s="244"/>
      <x:c r="T72" s="244"/>
      <x:c r="U72" s="261"/>
    </x:row>
    <x:row r="73">
      <x:c r="A73" s="3"/>
      <x:c r="B73" s="262"/>
      <x:c r="C73" s="244"/>
      <x:c r="D73" s="244"/>
      <x:c r="E73" s="244"/>
      <x:c r="F73" s="244"/>
      <x:c r="G73" s="244"/>
      <x:c r="H73" s="244"/>
      <x:c r="I73" s="244"/>
      <x:c r="J73" s="244"/>
      <x:c r="K73" s="244"/>
      <x:c r="L73" s="244"/>
      <x:c r="M73" s="244"/>
      <x:c r="N73" s="244"/>
      <x:c r="O73" s="244"/>
      <x:c r="P73" s="244"/>
      <x:c r="Q73" s="244"/>
      <x:c r="R73" s="244"/>
      <x:c r="S73" s="244"/>
      <x:c r="T73" s="244"/>
      <x:c r="U73" s="261"/>
    </x:row>
    <x:row r="74">
      <x:c r="A74" s="3"/>
      <x:c r="B74" s="262"/>
      <x:c r="C74" s="244"/>
      <x:c r="D74" s="244"/>
      <x:c r="E74" s="244"/>
      <x:c r="F74" s="244"/>
      <x:c r="G74" s="244"/>
      <x:c r="H74" s="244"/>
      <x:c r="I74" s="244"/>
      <x:c r="J74" s="244"/>
      <x:c r="K74" s="244"/>
      <x:c r="L74" s="244"/>
      <x:c r="M74" s="244"/>
      <x:c r="N74" s="244"/>
      <x:c r="O74" s="244"/>
      <x:c r="P74" s="244"/>
      <x:c r="Q74" s="244"/>
      <x:c r="R74" s="244"/>
      <x:c r="S74" s="244"/>
      <x:c r="T74" s="244"/>
      <x:c r="U74" s="261"/>
    </x:row>
    <x:row r="75">
      <x:c r="A75" s="3"/>
      <x:c r="B75" s="262"/>
      <x:c r="C75" s="244"/>
      <x:c r="D75" s="244"/>
      <x:c r="E75" s="244"/>
      <x:c r="F75" s="244"/>
      <x:c r="G75" s="244"/>
      <x:c r="H75" s="244"/>
      <x:c r="I75" s="244"/>
      <x:c r="J75" s="244"/>
      <x:c r="K75" s="244"/>
      <x:c r="L75" s="244"/>
      <x:c r="M75" s="244"/>
      <x:c r="N75" s="244"/>
      <x:c r="O75" s="244"/>
      <x:c r="P75" s="244"/>
      <x:c r="Q75" s="244"/>
      <x:c r="R75" s="244"/>
      <x:c r="S75" s="244"/>
      <x:c r="T75" s="244"/>
      <x:c r="U75" s="261"/>
    </x:row>
    <x:row r="76">
      <x:c r="A76" s="3"/>
      <x:c r="B76" s="262"/>
      <x:c r="C76" s="244"/>
      <x:c r="D76" s="244"/>
      <x:c r="E76" s="244"/>
      <x:c r="F76" s="244"/>
      <x:c r="G76" s="244"/>
      <x:c r="H76" s="244"/>
      <x:c r="I76" s="244"/>
      <x:c r="J76" s="244"/>
      <x:c r="K76" s="244"/>
      <x:c r="L76" s="244"/>
      <x:c r="M76" s="244"/>
      <x:c r="N76" s="244"/>
      <x:c r="O76" s="244"/>
      <x:c r="P76" s="244"/>
      <x:c r="Q76" s="244"/>
      <x:c r="R76" s="244"/>
      <x:c r="S76" s="244"/>
      <x:c r="T76" s="244"/>
      <x:c r="U76" s="261"/>
    </x:row>
    <x:row r="77">
      <x:c r="A77" s="3"/>
      <x:c r="B77" s="262"/>
      <x:c r="C77" s="244"/>
      <x:c r="D77" s="244"/>
      <x:c r="E77" s="244"/>
      <x:c r="F77" s="244"/>
      <x:c r="G77" s="244"/>
      <x:c r="H77" s="244"/>
      <x:c r="I77" s="244"/>
      <x:c r="J77" s="244"/>
      <x:c r="K77" s="244"/>
      <x:c r="L77" s="244"/>
      <x:c r="M77" s="244"/>
      <x:c r="N77" s="244"/>
      <x:c r="O77" s="244"/>
      <x:c r="P77" s="244"/>
      <x:c r="Q77" s="244"/>
      <x:c r="R77" s="244"/>
      <x:c r="S77" s="244"/>
      <x:c r="T77" s="244"/>
      <x:c r="U77" s="261"/>
    </x:row>
    <x:row r="78">
      <x:c r="A78" s="3"/>
      <x:c r="B78" s="262"/>
      <x:c r="C78" s="244"/>
      <x:c r="D78" s="244"/>
      <x:c r="E78" s="244"/>
      <x:c r="F78" s="244"/>
      <x:c r="G78" s="244"/>
      <x:c r="H78" s="244"/>
      <x:c r="I78" s="244"/>
      <x:c r="J78" s="244"/>
      <x:c r="K78" s="244"/>
      <x:c r="L78" s="244"/>
      <x:c r="M78" s="244"/>
      <x:c r="N78" s="244"/>
      <x:c r="O78" s="244"/>
      <x:c r="P78" s="244"/>
      <x:c r="Q78" s="244"/>
      <x:c r="R78" s="244"/>
      <x:c r="S78" s="244"/>
      <x:c r="T78" s="244"/>
      <x:c r="U78" s="261"/>
    </x:row>
    <x:row r="79">
      <x:c r="A79" s="3"/>
      <x:c r="B79" s="262"/>
      <x:c r="C79" s="244"/>
      <x:c r="D79" s="244"/>
      <x:c r="E79" s="244"/>
      <x:c r="F79" s="244"/>
      <x:c r="G79" s="244"/>
      <x:c r="H79" s="244"/>
      <x:c r="I79" s="244"/>
      <x:c r="J79" s="244"/>
      <x:c r="K79" s="244"/>
      <x:c r="L79" s="244"/>
      <x:c r="M79" s="244"/>
      <x:c r="N79" s="244"/>
      <x:c r="O79" s="244"/>
      <x:c r="P79" s="244"/>
      <x:c r="Q79" s="244"/>
      <x:c r="R79" s="244"/>
      <x:c r="S79" s="244"/>
      <x:c r="T79" s="244"/>
      <x:c r="U79" s="261"/>
    </x:row>
    <x:row r="80">
      <x:c r="A80" s="3"/>
      <x:c r="B80" s="262"/>
      <x:c r="C80" s="244"/>
      <x:c r="D80" s="244"/>
      <x:c r="E80" s="244"/>
      <x:c r="F80" s="244"/>
      <x:c r="G80" s="244"/>
      <x:c r="H80" s="244"/>
      <x:c r="I80" s="244"/>
      <x:c r="J80" s="244"/>
      <x:c r="K80" s="244"/>
      <x:c r="L80" s="244"/>
      <x:c r="M80" s="244"/>
      <x:c r="N80" s="244"/>
      <x:c r="O80" s="244"/>
      <x:c r="P80" s="244"/>
      <x:c r="Q80" s="244"/>
      <x:c r="R80" s="244"/>
      <x:c r="S80" s="244"/>
      <x:c r="T80" s="244"/>
      <x:c r="U80" s="261"/>
    </x:row>
    <x:row r="81">
      <x:c r="A81" s="3"/>
      <x:c r="B81" s="262"/>
      <x:c r="C81" s="244"/>
      <x:c r="D81" s="244"/>
      <x:c r="E81" s="244"/>
      <x:c r="F81" s="244"/>
      <x:c r="G81" s="244"/>
      <x:c r="H81" s="244"/>
      <x:c r="I81" s="244"/>
      <x:c r="J81" s="244"/>
      <x:c r="K81" s="244"/>
      <x:c r="L81" s="244"/>
      <x:c r="M81" s="244"/>
      <x:c r="N81" s="244"/>
      <x:c r="O81" s="244"/>
      <x:c r="P81" s="244"/>
      <x:c r="Q81" s="244"/>
      <x:c r="R81" s="244"/>
      <x:c r="S81" s="244"/>
      <x:c r="T81" s="244"/>
      <x:c r="U81" s="261"/>
    </x:row>
    <x:row r="82">
      <x:c r="A82" s="3"/>
      <x:c r="B82" s="262"/>
      <x:c r="C82" s="244"/>
      <x:c r="D82" s="244"/>
      <x:c r="E82" s="244"/>
      <x:c r="F82" s="244"/>
      <x:c r="G82" s="244"/>
      <x:c r="H82" s="244"/>
      <x:c r="I82" s="244"/>
      <x:c r="J82" s="244"/>
      <x:c r="K82" s="244"/>
      <x:c r="L82" s="244"/>
      <x:c r="M82" s="244"/>
      <x:c r="N82" s="244"/>
      <x:c r="O82" s="244"/>
      <x:c r="P82" s="244"/>
      <x:c r="Q82" s="244"/>
      <x:c r="R82" s="244"/>
      <x:c r="S82" s="244"/>
      <x:c r="T82" s="244"/>
      <x:c r="U82" s="261"/>
    </x:row>
    <x:row r="83">
      <x:c r="A83" s="3"/>
      <x:c r="B83" s="262"/>
      <x:c r="C83" s="244"/>
      <x:c r="D83" s="244"/>
      <x:c r="E83" s="244"/>
      <x:c r="F83" s="244"/>
      <x:c r="G83" s="244"/>
      <x:c r="H83" s="244"/>
      <x:c r="I83" s="244"/>
      <x:c r="J83" s="244"/>
      <x:c r="K83" s="244"/>
      <x:c r="L83" s="244"/>
      <x:c r="M83" s="244"/>
      <x:c r="N83" s="244"/>
      <x:c r="O83" s="244"/>
      <x:c r="P83" s="244"/>
      <x:c r="Q83" s="244"/>
      <x:c r="R83" s="244"/>
      <x:c r="S83" s="244"/>
      <x:c r="T83" s="244"/>
      <x:c r="U83" s="261"/>
    </x:row>
    <x:row r="84">
      <x:c r="A84" s="3"/>
      <x:c r="B84" s="262"/>
      <x:c r="C84" s="244"/>
      <x:c r="D84" s="244"/>
      <x:c r="E84" s="244"/>
      <x:c r="F84" s="244"/>
      <x:c r="G84" s="244"/>
      <x:c r="H84" s="244"/>
      <x:c r="I84" s="244"/>
      <x:c r="J84" s="244"/>
      <x:c r="K84" s="244"/>
      <x:c r="L84" s="244"/>
      <x:c r="M84" s="244"/>
      <x:c r="N84" s="244"/>
      <x:c r="O84" s="244"/>
      <x:c r="P84" s="244"/>
      <x:c r="Q84" s="244"/>
      <x:c r="R84" s="244"/>
      <x:c r="S84" s="244"/>
      <x:c r="T84" s="244"/>
      <x:c r="U84" s="261"/>
    </x:row>
    <x:row r="85">
      <x:c r="A85" s="3"/>
      <x:c r="B85" s="262"/>
      <x:c r="C85" s="244"/>
      <x:c r="D85" s="244"/>
      <x:c r="E85" s="244"/>
      <x:c r="F85" s="244"/>
      <x:c r="G85" s="244"/>
      <x:c r="H85" s="244"/>
      <x:c r="I85" s="244"/>
      <x:c r="J85" s="244"/>
      <x:c r="K85" s="244"/>
      <x:c r="L85" s="244"/>
      <x:c r="M85" s="244"/>
      <x:c r="N85" s="244"/>
      <x:c r="O85" s="244"/>
      <x:c r="P85" s="244"/>
      <x:c r="Q85" s="244"/>
      <x:c r="R85" s="244"/>
      <x:c r="S85" s="244"/>
      <x:c r="T85" s="244"/>
      <x:c r="U85" s="261"/>
    </x:row>
    <x:row r="86">
      <x:c r="A86" s="3"/>
      <x:c r="B86" s="262"/>
      <x:c r="C86" s="244"/>
      <x:c r="D86" s="244"/>
      <x:c r="E86" s="244"/>
      <x:c r="F86" s="244"/>
      <x:c r="G86" s="244"/>
      <x:c r="H86" s="244"/>
      <x:c r="I86" s="244"/>
      <x:c r="J86" s="244"/>
      <x:c r="K86" s="244"/>
      <x:c r="L86" s="244"/>
      <x:c r="M86" s="244"/>
      <x:c r="N86" s="244"/>
      <x:c r="O86" s="244"/>
      <x:c r="P86" s="244"/>
      <x:c r="Q86" s="244"/>
      <x:c r="R86" s="244"/>
      <x:c r="S86" s="244"/>
      <x:c r="T86" s="244"/>
      <x:c r="U86" s="261"/>
    </x:row>
    <x:row r="87">
      <x:c r="A87" s="3"/>
      <x:c r="B87" s="262"/>
      <x:c r="C87" s="244"/>
      <x:c r="D87" s="244"/>
      <x:c r="E87" s="244"/>
      <x:c r="F87" s="244"/>
      <x:c r="G87" s="244"/>
      <x:c r="H87" s="244"/>
      <x:c r="I87" s="244"/>
      <x:c r="J87" s="244"/>
      <x:c r="K87" s="244"/>
      <x:c r="L87" s="244"/>
      <x:c r="M87" s="244"/>
      <x:c r="N87" s="244"/>
      <x:c r="O87" s="244"/>
      <x:c r="P87" s="244"/>
      <x:c r="Q87" s="244"/>
      <x:c r="R87" s="244"/>
      <x:c r="S87" s="244"/>
      <x:c r="T87" s="244"/>
      <x:c r="U87" s="261"/>
    </x:row>
    <x:row r="88">
      <x:c r="A88" s="3"/>
      <x:c r="B88" s="262"/>
      <x:c r="C88" s="244"/>
      <x:c r="D88" s="244"/>
      <x:c r="E88" s="244"/>
      <x:c r="F88" s="244"/>
      <x:c r="G88" s="244"/>
      <x:c r="H88" s="244"/>
      <x:c r="I88" s="244"/>
      <x:c r="J88" s="244"/>
      <x:c r="K88" s="244"/>
      <x:c r="L88" s="244"/>
      <x:c r="M88" s="244"/>
      <x:c r="N88" s="244"/>
      <x:c r="O88" s="244"/>
      <x:c r="P88" s="244"/>
      <x:c r="Q88" s="244"/>
      <x:c r="R88" s="244"/>
      <x:c r="S88" s="244"/>
      <x:c r="T88" s="244"/>
      <x:c r="U88" s="261"/>
    </x:row>
    <x:row r="89">
      <x:c r="A89" s="3"/>
      <x:c r="B89" s="262"/>
      <x:c r="C89" s="244"/>
      <x:c r="D89" s="244"/>
      <x:c r="E89" s="244"/>
      <x:c r="F89" s="244"/>
      <x:c r="G89" s="244"/>
      <x:c r="H89" s="244"/>
      <x:c r="I89" s="244"/>
      <x:c r="J89" s="244"/>
      <x:c r="K89" s="244"/>
      <x:c r="L89" s="244"/>
      <x:c r="M89" s="244"/>
      <x:c r="N89" s="244"/>
      <x:c r="O89" s="244"/>
      <x:c r="P89" s="244"/>
      <x:c r="Q89" s="244"/>
      <x:c r="R89" s="244"/>
      <x:c r="S89" s="244"/>
      <x:c r="T89" s="244"/>
      <x:c r="U89" s="261"/>
    </x:row>
    <x:row r="90">
      <x:c r="A90" s="3"/>
      <x:c r="B90" s="266"/>
      <x:c r="C90" s="267"/>
      <x:c r="D90" s="267"/>
      <x:c r="E90" s="267"/>
      <x:c r="F90" s="267"/>
      <x:c r="G90" s="267"/>
      <x:c r="H90" s="267"/>
      <x:c r="I90" s="267"/>
      <x:c r="J90" s="267"/>
      <x:c r="K90" s="267"/>
      <x:c r="L90" s="267"/>
      <x:c r="M90" s="267"/>
      <x:c r="N90" s="267"/>
      <x:c r="O90" s="267"/>
      <x:c r="P90" s="267"/>
      <x:c r="Q90" s="267"/>
      <x:c r="R90" s="267"/>
      <x:c r="S90" s="267"/>
      <x:c r="T90" s="267"/>
      <x:c r="U90" s="268"/>
    </x:row>
  </x:sheetData>
  <x:mergeCells>
    <x:mergeCell ref="B2:K2"/>
    <x:mergeCell ref="B3:K3"/>
    <x:mergeCell ref="B4:K4"/>
    <x:mergeCell ref="B6:K6"/>
    <x:mergeCell ref="C7:K7"/>
    <x:mergeCell ref="C8:K8"/>
    <x:mergeCell ref="C9:K9"/>
    <x:mergeCell ref="C10:K10"/>
    <x:mergeCell ref="C11:K11"/>
    <x:mergeCell ref="C12:K12"/>
    <x:mergeCell ref="C13:K13"/>
    <x:mergeCell ref="C14:K14"/>
    <x:mergeCell ref="B17:K17"/>
    <x:mergeCell ref="B18:K18"/>
    <x:mergeCell ref="B19:K19"/>
    <x:mergeCell ref="B22:K22"/>
    <x:mergeCell ref="C23:K23"/>
    <x:mergeCell ref="C24:K24"/>
    <x:mergeCell ref="C25:K25"/>
    <x:mergeCell ref="C26:K26"/>
    <x:mergeCell ref="C27:K27"/>
    <x:mergeCell ref="C28:K28"/>
  </x:mergeCells>
  <x:pageMargins left="0.7" right="0.7" top="0.75" bottom="0.75" header="0.3" footer="0.3"/>
</x:worksheet>
</file>